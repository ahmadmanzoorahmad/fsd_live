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/Users/sidracheema/Documents/Claude/Projects/MyLIfe/Fuel Pass/"/>
    </mc:Choice>
  </mc:AlternateContent>
  <xr:revisionPtr revIDLastSave="57" documentId="13_ncr:1_{2EFAF3C8-429B-9143-A5A1-E46AAE369473}" xr6:coauthVersionLast="47" xr6:coauthVersionMax="47" xr10:uidLastSave="{6D67824B-14AA-495A-89FE-BFDADD9D90A2}"/>
  <bookViews>
    <workbookView xWindow="0" yWindow="660" windowWidth="30240" windowHeight="18980" tabRatio="500" activeTab="4" xr2:uid="{00000000-000D-0000-FFFF-FFFF00000000}"/>
  </bookViews>
  <sheets>
    <sheet name="PM Dashboard" sheetId="1" r:id="rId1"/>
    <sheet name="Recd from ETO" sheetId="2" r:id="rId2"/>
    <sheet name="Sent to SBP" sheetId="3" r:id="rId3"/>
    <sheet name="Returned by SBP" sheetId="5" r:id="rId4"/>
    <sheet name="Processed by SBP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2" l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" i="2"/>
  <c r="C19" i="5"/>
  <c r="C46" i="5"/>
  <c r="D52" i="3"/>
  <c r="D8" i="4"/>
  <c r="D50" i="4" s="1"/>
  <c r="G8" i="1" s="1"/>
  <c r="C48" i="5"/>
  <c r="C47" i="5"/>
  <c r="C45" i="5"/>
  <c r="C44" i="5"/>
  <c r="D24" i="1" s="1"/>
  <c r="C43" i="5"/>
  <c r="D19" i="1" s="1"/>
  <c r="C37" i="5"/>
  <c r="C31" i="5"/>
  <c r="D17" i="1" s="1"/>
  <c r="C25" i="5"/>
  <c r="C13" i="5"/>
  <c r="D14" i="1" s="1"/>
  <c r="C7" i="5"/>
  <c r="E49" i="4"/>
  <c r="D49" i="4"/>
  <c r="E48" i="4"/>
  <c r="D48" i="4"/>
  <c r="F27" i="1" s="1"/>
  <c r="E47" i="4"/>
  <c r="D47" i="4"/>
  <c r="F26" i="1" s="1"/>
  <c r="H26" i="1" s="1"/>
  <c r="E46" i="4"/>
  <c r="D46" i="4"/>
  <c r="E45" i="4"/>
  <c r="D45" i="4"/>
  <c r="F24" i="1" s="1"/>
  <c r="F44" i="4"/>
  <c r="E44" i="4"/>
  <c r="D44" i="4"/>
  <c r="F19" i="1" s="1"/>
  <c r="F43" i="4"/>
  <c r="F42" i="4"/>
  <c r="F41" i="4"/>
  <c r="F40" i="4"/>
  <c r="F46" i="4" s="1"/>
  <c r="G25" i="1" s="1"/>
  <c r="F39" i="4"/>
  <c r="E38" i="4"/>
  <c r="D38" i="4"/>
  <c r="F37" i="4"/>
  <c r="F49" i="4" s="1"/>
  <c r="G28" i="1" s="1"/>
  <c r="F36" i="4"/>
  <c r="F48" i="4" s="1"/>
  <c r="G27" i="1" s="1"/>
  <c r="F35" i="4"/>
  <c r="F38" i="4" s="1"/>
  <c r="G18" i="1" s="1"/>
  <c r="F34" i="4"/>
  <c r="F33" i="4"/>
  <c r="E32" i="4"/>
  <c r="D32" i="4"/>
  <c r="F17" i="1" s="1"/>
  <c r="F31" i="4"/>
  <c r="F30" i="4"/>
  <c r="F29" i="4"/>
  <c r="F28" i="4"/>
  <c r="F27" i="4"/>
  <c r="F32" i="4" s="1"/>
  <c r="G17" i="1" s="1"/>
  <c r="F26" i="4"/>
  <c r="G16" i="1" s="1"/>
  <c r="E26" i="4"/>
  <c r="D26" i="4"/>
  <c r="F25" i="4"/>
  <c r="F24" i="4"/>
  <c r="F23" i="4"/>
  <c r="F22" i="4"/>
  <c r="F21" i="4"/>
  <c r="E20" i="4"/>
  <c r="D20" i="4"/>
  <c r="F15" i="1" s="1"/>
  <c r="F19" i="4"/>
  <c r="F20" i="4" s="1"/>
  <c r="G15" i="1" s="1"/>
  <c r="F18" i="4"/>
  <c r="F17" i="4"/>
  <c r="F16" i="4"/>
  <c r="F15" i="4"/>
  <c r="E14" i="4"/>
  <c r="D14" i="4"/>
  <c r="F13" i="4"/>
  <c r="F12" i="4"/>
  <c r="F11" i="4"/>
  <c r="F10" i="4"/>
  <c r="F14" i="4" s="1"/>
  <c r="G14" i="1" s="1"/>
  <c r="F9" i="4"/>
  <c r="E8" i="4"/>
  <c r="F7" i="4"/>
  <c r="F6" i="4"/>
  <c r="F5" i="4"/>
  <c r="F4" i="4"/>
  <c r="F3" i="4"/>
  <c r="F8" i="4" s="1"/>
  <c r="G13" i="1" s="1"/>
  <c r="G52" i="3"/>
  <c r="F52" i="3"/>
  <c r="E52" i="3"/>
  <c r="G51" i="3"/>
  <c r="F51" i="3"/>
  <c r="E51" i="3"/>
  <c r="D51" i="3"/>
  <c r="C28" i="1" s="1"/>
  <c r="G50" i="3"/>
  <c r="F50" i="3"/>
  <c r="E50" i="3"/>
  <c r="D50" i="3"/>
  <c r="C27" i="1" s="1"/>
  <c r="G49" i="3"/>
  <c r="F49" i="3"/>
  <c r="E49" i="3"/>
  <c r="D49" i="3"/>
  <c r="G48" i="3"/>
  <c r="F48" i="3"/>
  <c r="E48" i="3"/>
  <c r="D48" i="3"/>
  <c r="G47" i="3"/>
  <c r="F47" i="3"/>
  <c r="E47" i="3"/>
  <c r="D47" i="3"/>
  <c r="C24" i="1" s="1"/>
  <c r="G52" i="2"/>
  <c r="F52" i="2"/>
  <c r="E52" i="2"/>
  <c r="G51" i="2"/>
  <c r="F51" i="2"/>
  <c r="E51" i="2"/>
  <c r="G50" i="2"/>
  <c r="F50" i="2"/>
  <c r="E50" i="2"/>
  <c r="G49" i="2"/>
  <c r="F49" i="2"/>
  <c r="E49" i="2"/>
  <c r="G48" i="2"/>
  <c r="F48" i="2"/>
  <c r="E48" i="2"/>
  <c r="G47" i="2"/>
  <c r="F47" i="2"/>
  <c r="E47" i="2"/>
  <c r="F28" i="1"/>
  <c r="D28" i="1"/>
  <c r="D27" i="1"/>
  <c r="D26" i="1"/>
  <c r="C26" i="1"/>
  <c r="E26" i="1" s="1"/>
  <c r="F25" i="1"/>
  <c r="D25" i="1"/>
  <c r="C25" i="1"/>
  <c r="H25" i="1" s="1"/>
  <c r="C20" i="1"/>
  <c r="C19" i="1"/>
  <c r="F18" i="1"/>
  <c r="H18" i="1" s="1"/>
  <c r="D18" i="1"/>
  <c r="E18" i="1" s="1"/>
  <c r="C18" i="1"/>
  <c r="C17" i="1"/>
  <c r="H17" i="1" s="1"/>
  <c r="F16" i="1"/>
  <c r="H16" i="1" s="1"/>
  <c r="C16" i="1"/>
  <c r="C15" i="1"/>
  <c r="F14" i="1"/>
  <c r="C14" i="1"/>
  <c r="F13" i="1"/>
  <c r="D13" i="1"/>
  <c r="C13" i="1"/>
  <c r="H13" i="1" s="1"/>
  <c r="C9" i="1"/>
  <c r="B9" i="1"/>
  <c r="D8" i="1"/>
  <c r="B8" i="1"/>
  <c r="G4" i="1"/>
  <c r="D16" i="1" l="1"/>
  <c r="E16" i="1" s="1"/>
  <c r="C49" i="5"/>
  <c r="D15" i="1"/>
  <c r="D20" i="1" s="1"/>
  <c r="E8" i="1"/>
  <c r="F8" i="1" s="1"/>
  <c r="D29" i="1"/>
  <c r="E50" i="4"/>
  <c r="E28" i="1"/>
  <c r="H28" i="1"/>
  <c r="F50" i="4"/>
  <c r="H8" i="1" s="1"/>
  <c r="F29" i="1"/>
  <c r="H19" i="1"/>
  <c r="E24" i="1"/>
  <c r="C29" i="1"/>
  <c r="H24" i="1"/>
  <c r="E14" i="1"/>
  <c r="H27" i="1"/>
  <c r="E27" i="1"/>
  <c r="F20" i="1"/>
  <c r="H20" i="1" s="1"/>
  <c r="H14" i="1"/>
  <c r="H15" i="1"/>
  <c r="F47" i="4"/>
  <c r="G26" i="1" s="1"/>
  <c r="E20" i="1"/>
  <c r="E25" i="1"/>
  <c r="E13" i="1"/>
  <c r="E15" i="1"/>
  <c r="F45" i="4"/>
  <c r="G24" i="1" s="1"/>
  <c r="E17" i="1"/>
  <c r="E19" i="1"/>
  <c r="I8" i="1"/>
  <c r="G19" i="1"/>
  <c r="G20" i="1" s="1"/>
  <c r="H29" i="1" l="1"/>
  <c r="E29" i="1"/>
  <c r="G29" i="1"/>
</calcChain>
</file>

<file path=xl/sharedStrings.xml><?xml version="1.0" encoding="utf-8"?>
<sst xmlns="http://schemas.openxmlformats.org/spreadsheetml/2006/main" count="282" uniqueCount="44">
  <si>
    <t>FUEL SUBSIDY DASHBOARD</t>
  </si>
  <si>
    <t>LAST UPDATED</t>
  </si>
  <si>
    <t>Prime Minister's Office</t>
  </si>
  <si>
    <t xml:space="preserve">  RECEIVED FROM ALL ETOs</t>
  </si>
  <si>
    <t xml:space="preserve">  SENT TO SBP</t>
  </si>
  <si>
    <t xml:space="preserve">  RETURNED BY SBP</t>
  </si>
  <si>
    <t xml:space="preserve">  BALANCE WITH SBP</t>
  </si>
  <si>
    <t xml:space="preserve">  QTY PROCESSED BY SBP</t>
  </si>
  <si>
    <t xml:space="preserve">  AMOUNT DISBURSED BY SBP</t>
  </si>
  <si>
    <t xml:space="preserve">  QTY PENDING WITH SBP</t>
  </si>
  <si>
    <t>PROVINCE-WISE OVERVIEW</t>
  </si>
  <si>
    <t>Province</t>
  </si>
  <si>
    <t>Sent to SBP</t>
  </si>
  <si>
    <t>Returned by SBP</t>
  </si>
  <si>
    <t>Balance with SBP</t>
  </si>
  <si>
    <t>Qty Processed by SBP</t>
  </si>
  <si>
    <t>Amount Disbursed by SBP</t>
  </si>
  <si>
    <t>Pending with SBP</t>
  </si>
  <si>
    <t>Punjab</t>
  </si>
  <si>
    <t>Sindh</t>
  </si>
  <si>
    <t>Balochistan</t>
  </si>
  <si>
    <t>KPK</t>
  </si>
  <si>
    <t>ICT</t>
  </si>
  <si>
    <t>AJK</t>
  </si>
  <si>
    <t>GB</t>
  </si>
  <si>
    <t>TOTAL</t>
  </si>
  <si>
    <t>VEHICLE TYPE BREAKDOWN</t>
  </si>
  <si>
    <t>Vehicle Type</t>
  </si>
  <si>
    <t>Truck</t>
  </si>
  <si>
    <t>Long-Wheel Truck</t>
  </si>
  <si>
    <t>Public Service Buses</t>
  </si>
  <si>
    <t>Minibus/Wagon</t>
  </si>
  <si>
    <t>Delivery Van/Loader</t>
  </si>
  <si>
    <t>SBP PROCESSING PIPELINE BY PROVINCE</t>
  </si>
  <si>
    <t>Route Permit Data Received by PDA from ETO</t>
  </si>
  <si>
    <t>Total</t>
  </si>
  <si>
    <t>CNIC</t>
  </si>
  <si>
    <t>NTN</t>
  </si>
  <si>
    <t>Other</t>
  </si>
  <si>
    <t>Time Received</t>
  </si>
  <si>
    <t>Total Vehicles</t>
  </si>
  <si>
    <t>Unit Amount</t>
  </si>
  <si>
    <t>Total Amount Disbursed</t>
  </si>
  <si>
    <t>Time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</si>
</sst>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\-_);_(@_)"/>
  </numFmts>
  <fonts count="23">
    <font>
      <sz val="12"/>
      <color theme="1"/>
      <name val="Aptos Narrow"/>
      <family val="2"/>
      <charset val="1"/>
    </font>
    <font>
      <b/>
      <sz val="24"/>
      <color rgb="FFFFFFFF"/>
      <name val="Arial"/>
      <family val="2"/>
      <charset val="1"/>
    </font>
    <font>
      <b/>
      <sz val="8"/>
      <color rgb="FFB9F6CA"/>
      <name val="Arial"/>
      <family val="2"/>
      <charset val="1"/>
    </font>
    <font>
      <sz val="10"/>
      <color rgb="FFB9F6CA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757575"/>
      <name val="Arial"/>
      <family val="2"/>
      <charset val="1"/>
    </font>
    <font>
      <b/>
      <sz val="11"/>
      <color theme="9" tint="-0.499984740745262"/>
      <name val="Arial"/>
      <family val="2"/>
      <charset val="1"/>
    </font>
    <font>
      <b/>
      <sz val="20"/>
      <color rgb="FF1B5E20"/>
      <name val="Arial"/>
      <family val="2"/>
      <charset val="1"/>
    </font>
    <font>
      <b/>
      <sz val="20"/>
      <color rgb="FFE65100"/>
      <name val="Arial"/>
      <family val="2"/>
      <charset val="1"/>
    </font>
    <font>
      <b/>
      <sz val="20"/>
      <color rgb="FFC62828"/>
      <name val="Arial"/>
      <family val="2"/>
      <charset val="1"/>
    </font>
    <font>
      <b/>
      <sz val="10"/>
      <color rgb="FF2E7D32"/>
      <name val="Arial"/>
      <family val="2"/>
      <charset val="1"/>
    </font>
    <font>
      <b/>
      <sz val="10"/>
      <color rgb="FF00695C"/>
      <name val="Arial"/>
      <family val="2"/>
      <charset val="1"/>
    </font>
    <font>
      <b/>
      <sz val="12"/>
      <color rgb="FF1B5E20"/>
      <name val="Arial"/>
      <family val="2"/>
      <charset val="1"/>
    </font>
    <font>
      <b/>
      <sz val="11"/>
      <color rgb="FF212121"/>
      <name val="Arial"/>
      <family val="2"/>
      <charset val="1"/>
    </font>
    <font>
      <sz val="11"/>
      <color rgb="FF212121"/>
      <name val="Arial"/>
      <family val="2"/>
      <charset val="1"/>
    </font>
    <font>
      <sz val="11"/>
      <color rgb="FFE65100"/>
      <name val="Arial"/>
      <family val="2"/>
      <charset val="1"/>
    </font>
    <font>
      <sz val="11"/>
      <color rgb="FFC62828"/>
      <name val="Arial"/>
      <family val="2"/>
      <charset val="1"/>
    </font>
    <font>
      <b/>
      <sz val="11"/>
      <color rgb="FF2E7D32"/>
      <name val="Arial"/>
      <family val="2"/>
      <charset val="1"/>
    </font>
    <font>
      <b/>
      <sz val="12"/>
      <color theme="1"/>
      <name val="Aptos Narrow"/>
    </font>
    <font>
      <b/>
      <sz val="12"/>
      <color rgb="FF000000"/>
      <name val="Aptos Narrow"/>
    </font>
    <font>
      <sz val="12"/>
      <color rgb="FF000000"/>
      <name val="Aptos Narrow"/>
      <family val="2"/>
      <charset val="1"/>
    </font>
    <font>
      <b/>
      <sz val="14"/>
      <color rgb="FF1B5E20"/>
      <name val="Arial"/>
      <family val="2"/>
      <charset val="1"/>
    </font>
    <font>
      <b/>
      <sz val="20"/>
      <color rgb="FFC0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B5E20"/>
        <bgColor rgb="FF275317"/>
      </patternFill>
    </fill>
    <fill>
      <patternFill patternType="solid">
        <fgColor rgb="FF43A047"/>
        <bgColor rgb="FF2E7D32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2E7D32"/>
        <bgColor rgb="FF1B5E20"/>
      </patternFill>
    </fill>
    <fill>
      <patternFill patternType="solid">
        <fgColor theme="0" tint="-0.14999847407452621"/>
        <bgColor rgb="FFE0E0E0"/>
      </patternFill>
    </fill>
    <fill>
      <patternFill patternType="solid">
        <fgColor theme="9" tint="0.79979857783745845"/>
        <bgColor rgb="FFE8F5E9"/>
      </patternFill>
    </fill>
    <fill>
      <patternFill patternType="solid">
        <fgColor theme="5" tint="0.79979857783745845"/>
        <bgColor rgb="FFE0E0E0"/>
      </patternFill>
    </fill>
  </fills>
  <borders count="7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ck">
        <color rgb="FF43A047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6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3" fontId="14" fillId="4" borderId="1" xfId="0" applyNumberFormat="1" applyFont="1" applyFill="1" applyBorder="1" applyAlignment="1">
      <alignment horizontal="center" vertical="center" wrapText="1"/>
    </xf>
    <xf numFmtId="3" fontId="15" fillId="4" borderId="1" xfId="0" applyNumberFormat="1" applyFont="1" applyFill="1" applyBorder="1" applyAlignment="1">
      <alignment horizontal="center" vertical="center" wrapText="1"/>
    </xf>
    <xf numFmtId="3" fontId="16" fillId="4" borderId="1" xfId="0" applyNumberFormat="1" applyFont="1" applyFill="1" applyBorder="1" applyAlignment="1">
      <alignment horizontal="center" vertical="center" wrapText="1"/>
    </xf>
    <xf numFmtId="3" fontId="17" fillId="4" borderId="1" xfId="0" applyNumberFormat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3" fontId="14" fillId="6" borderId="1" xfId="0" applyNumberFormat="1" applyFont="1" applyFill="1" applyBorder="1" applyAlignment="1">
      <alignment horizontal="center" vertical="center" wrapText="1"/>
    </xf>
    <xf numFmtId="3" fontId="15" fillId="6" borderId="1" xfId="0" applyNumberFormat="1" applyFont="1" applyFill="1" applyBorder="1" applyAlignment="1">
      <alignment horizontal="center" vertical="center" wrapText="1"/>
    </xf>
    <xf numFmtId="3" fontId="16" fillId="6" borderId="1" xfId="0" applyNumberFormat="1" applyFont="1" applyFill="1" applyBorder="1" applyAlignment="1">
      <alignment horizontal="center" vertical="center" wrapText="1"/>
    </xf>
    <xf numFmtId="3" fontId="17" fillId="6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0" fontId="18" fillId="8" borderId="4" xfId="0" applyFont="1" applyFill="1" applyBorder="1"/>
    <xf numFmtId="0" fontId="18" fillId="9" borderId="4" xfId="0" applyFont="1" applyFill="1" applyBorder="1"/>
    <xf numFmtId="164" fontId="0" fillId="9" borderId="4" xfId="0" applyNumberFormat="1" applyFill="1" applyBorder="1" applyProtection="1">
      <protection locked="0"/>
    </xf>
    <xf numFmtId="0" fontId="0" fillId="9" borderId="4" xfId="0" applyFill="1" applyBorder="1" applyProtection="1">
      <protection locked="0"/>
    </xf>
    <xf numFmtId="0" fontId="18" fillId="10" borderId="4" xfId="0" applyFont="1" applyFill="1" applyBorder="1"/>
    <xf numFmtId="164" fontId="0" fillId="10" borderId="4" xfId="0" applyNumberFormat="1" applyFill="1" applyBorder="1" applyProtection="1">
      <protection locked="0"/>
    </xf>
    <xf numFmtId="0" fontId="0" fillId="10" borderId="4" xfId="0" applyFill="1" applyBorder="1" applyProtection="1">
      <protection locked="0"/>
    </xf>
    <xf numFmtId="164" fontId="20" fillId="9" borderId="5" xfId="0" applyNumberFormat="1" applyFont="1" applyFill="1" applyBorder="1" applyProtection="1">
      <protection locked="0"/>
    </xf>
    <xf numFmtId="0" fontId="20" fillId="9" borderId="5" xfId="0" applyFont="1" applyFill="1" applyBorder="1" applyProtection="1">
      <protection locked="0"/>
    </xf>
    <xf numFmtId="164" fontId="20" fillId="9" borderId="6" xfId="0" applyNumberFormat="1" applyFont="1" applyFill="1" applyBorder="1" applyProtection="1">
      <protection locked="0"/>
    </xf>
    <xf numFmtId="0" fontId="20" fillId="9" borderId="6" xfId="0" applyFont="1" applyFill="1" applyBorder="1" applyProtection="1">
      <protection locked="0"/>
    </xf>
    <xf numFmtId="164" fontId="20" fillId="10" borderId="5" xfId="0" applyNumberFormat="1" applyFont="1" applyFill="1" applyBorder="1" applyProtection="1">
      <protection locked="0"/>
    </xf>
    <xf numFmtId="0" fontId="20" fillId="10" borderId="5" xfId="0" applyFont="1" applyFill="1" applyBorder="1" applyProtection="1">
      <protection locked="0"/>
    </xf>
    <xf numFmtId="164" fontId="20" fillId="10" borderId="6" xfId="0" applyNumberFormat="1" applyFont="1" applyFill="1" applyBorder="1" applyProtection="1">
      <protection locked="0"/>
    </xf>
    <xf numFmtId="0" fontId="20" fillId="10" borderId="6" xfId="0" applyFont="1" applyFill="1" applyBorder="1" applyProtection="1">
      <protection locked="0"/>
    </xf>
    <xf numFmtId="164" fontId="20" fillId="10" borderId="5" xfId="0" applyNumberFormat="1" applyFont="1" applyFill="1" applyBorder="1"/>
    <xf numFmtId="0" fontId="20" fillId="10" borderId="5" xfId="0" applyFont="1" applyFill="1" applyBorder="1"/>
    <xf numFmtId="0" fontId="20" fillId="10" borderId="6" xfId="0" applyFont="1" applyFill="1" applyBorder="1"/>
    <xf numFmtId="0" fontId="18" fillId="8" borderId="4" xfId="0" applyFont="1" applyFill="1" applyBorder="1" applyAlignment="1">
      <alignment wrapText="1"/>
    </xf>
    <xf numFmtId="0" fontId="0" fillId="9" borderId="4" xfId="0" applyFill="1" applyBorder="1" applyAlignment="1" applyProtection="1">
      <alignment wrapText="1"/>
      <protection locked="0"/>
    </xf>
    <xf numFmtId="0" fontId="0" fillId="10" borderId="4" xfId="0" applyFill="1" applyBorder="1" applyAlignment="1" applyProtection="1">
      <alignment wrapText="1"/>
      <protection locked="0"/>
    </xf>
    <xf numFmtId="0" fontId="20" fillId="9" borderId="5" xfId="0" applyFont="1" applyFill="1" applyBorder="1" applyAlignment="1" applyProtection="1">
      <alignment wrapText="1"/>
      <protection locked="0"/>
    </xf>
    <xf numFmtId="0" fontId="20" fillId="9" borderId="6" xfId="0" applyFont="1" applyFill="1" applyBorder="1" applyAlignment="1" applyProtection="1">
      <alignment wrapText="1"/>
      <protection locked="0"/>
    </xf>
    <xf numFmtId="0" fontId="20" fillId="10" borderId="5" xfId="0" applyFont="1" applyFill="1" applyBorder="1" applyAlignment="1" applyProtection="1">
      <alignment wrapText="1"/>
      <protection locked="0"/>
    </xf>
    <xf numFmtId="0" fontId="20" fillId="10" borderId="6" xfId="0" applyFont="1" applyFill="1" applyBorder="1" applyAlignment="1" applyProtection="1">
      <alignment wrapText="1"/>
      <protection locked="0"/>
    </xf>
    <xf numFmtId="0" fontId="20" fillId="10" borderId="5" xfId="0" applyFont="1" applyFill="1" applyBorder="1" applyAlignment="1">
      <alignment wrapText="1"/>
    </xf>
    <xf numFmtId="0" fontId="20" fillId="10" borderId="6" xfId="0" applyFont="1" applyFill="1" applyBorder="1" applyAlignment="1">
      <alignment wrapText="1"/>
    </xf>
    <xf numFmtId="0" fontId="0" fillId="0" borderId="0" xfId="0" applyAlignment="1">
      <alignment wrapText="1"/>
    </xf>
    <xf numFmtId="22" fontId="0" fillId="9" borderId="4" xfId="0" applyNumberFormat="1" applyFill="1" applyBorder="1" applyAlignment="1" applyProtection="1">
      <alignment wrapText="1"/>
      <protection locked="0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/>
    </xf>
    <xf numFmtId="0" fontId="4" fillId="2" borderId="0" xfId="0" applyFont="1" applyFill="1" applyAlignment="1">
      <alignment horizontal="right" vertical="top"/>
    </xf>
    <xf numFmtId="0" fontId="5" fillId="4" borderId="1" xfId="0" applyFont="1" applyFill="1" applyBorder="1" applyAlignment="1">
      <alignment horizontal="center" vertical="center" wrapText="1"/>
    </xf>
    <xf numFmtId="3" fontId="22" fillId="4" borderId="1" xfId="0" applyNumberFormat="1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0" fontId="19" fillId="9" borderId="4" xfId="0" applyFont="1" applyFill="1" applyBorder="1" applyAlignment="1">
      <alignment horizontal="center" vertical="center"/>
    </xf>
    <xf numFmtId="0" fontId="19" fillId="10" borderId="4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9" borderId="4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3" fillId="2" borderId="0" xfId="0" applyFont="1" applyFill="1" applyAlignment="1"/>
    <xf numFmtId="0" fontId="21" fillId="0" borderId="2" xfId="0" applyFont="1" applyBorder="1" applyAlignment="1"/>
    <xf numFmtId="0" fontId="21" fillId="0" borderId="0" xfId="0" applyFont="1" applyAlignment="1"/>
    <xf numFmtId="0" fontId="12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695C"/>
      <rgbColor rgb="FFB3B3B3"/>
      <rgbColor rgb="FF757575"/>
      <rgbColor rgb="FF9999FF"/>
      <rgbColor rgb="FF993366"/>
      <rgbColor rgb="FFF5F5F5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9F6CA"/>
      <rgbColor rgb="FFD9F2D0"/>
      <rgbColor rgb="FFE0E0E0"/>
      <rgbColor rgb="FF99CCFF"/>
      <rgbColor rgb="FFFF99CC"/>
      <rgbColor rgb="FFCC99FF"/>
      <rgbColor rgb="FFFBE3D6"/>
      <rgbColor rgb="FF3366FF"/>
      <rgbColor rgb="FF33CCCC"/>
      <rgbColor rgb="FF99CC00"/>
      <rgbColor rgb="FFFFC000"/>
      <rgbColor rgb="FFFF9900"/>
      <rgbColor rgb="FFE65100"/>
      <rgbColor rgb="FF666699"/>
      <rgbColor rgb="FF969696"/>
      <rgbColor rgb="FF003366"/>
      <rgbColor rgb="FF43A047"/>
      <rgbColor rgb="FF1B5E20"/>
      <rgbColor rgb="FF275317"/>
      <rgbColor rgb="FFC62828"/>
      <rgbColor rgb="FF993366"/>
      <rgbColor rgb="FF333399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ptos Narrow"/>
              </a:rPr>
              <a:t>SBP Pipeline: Processed + Returned +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'PM Dashboard'!$F$12</c:f>
              <c:strCache>
                <c:ptCount val="1"/>
                <c:pt idx="0">
                  <c:v>Qty Processed by SBP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'PM Dashboard'!$B$13:$B$19</c:f>
              <c:strCache>
                <c:ptCount val="7"/>
                <c:pt idx="0">
                  <c:v>Punjab</c:v>
                </c:pt>
                <c:pt idx="1">
                  <c:v>Sindh</c:v>
                </c:pt>
                <c:pt idx="2">
                  <c:v>Balochistan</c:v>
                </c:pt>
                <c:pt idx="3">
                  <c:v>KPK</c:v>
                </c:pt>
                <c:pt idx="4">
                  <c:v>ICT</c:v>
                </c:pt>
                <c:pt idx="5">
                  <c:v>AJK</c:v>
                </c:pt>
                <c:pt idx="6">
                  <c:v>GB</c:v>
                </c:pt>
              </c:strCache>
            </c:strRef>
          </c:cat>
          <c:val>
            <c:numRef>
              <c:f>'PM Dashboard'!$F$13:$F$19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E-2549-A034-73878032B44C}"/>
            </c:ext>
          </c:extLst>
        </c:ser>
        <c:ser>
          <c:idx val="1"/>
          <c:order val="1"/>
          <c:tx>
            <c:strRef>
              <c:f>'PM Dashboard'!$D$12</c:f>
              <c:strCache>
                <c:ptCount val="1"/>
                <c:pt idx="0">
                  <c:v>Returned by SBP</c:v>
                </c:pt>
              </c:strCache>
            </c:strRef>
          </c:tx>
          <c:spPr>
            <a:solidFill>
              <a:srgbClr val="E6510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'PM Dashboard'!$B$13:$B$19</c:f>
              <c:strCache>
                <c:ptCount val="7"/>
                <c:pt idx="0">
                  <c:v>Punjab</c:v>
                </c:pt>
                <c:pt idx="1">
                  <c:v>Sindh</c:v>
                </c:pt>
                <c:pt idx="2">
                  <c:v>Balochistan</c:v>
                </c:pt>
                <c:pt idx="3">
                  <c:v>KPK</c:v>
                </c:pt>
                <c:pt idx="4">
                  <c:v>ICT</c:v>
                </c:pt>
                <c:pt idx="5">
                  <c:v>AJK</c:v>
                </c:pt>
                <c:pt idx="6">
                  <c:v>GB</c:v>
                </c:pt>
              </c:strCache>
            </c:strRef>
          </c:cat>
          <c:val>
            <c:numRef>
              <c:f>'PM Dashboard'!$D$13:$D$19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E-2549-A034-73878032B44C}"/>
            </c:ext>
          </c:extLst>
        </c:ser>
        <c:ser>
          <c:idx val="2"/>
          <c:order val="2"/>
          <c:tx>
            <c:strRef>
              <c:f>'PM Dashboard'!$E$12</c:f>
              <c:strCache>
                <c:ptCount val="1"/>
                <c:pt idx="0">
                  <c:v>Balance with SBP</c:v>
                </c:pt>
              </c:strCache>
            </c:strRef>
          </c:tx>
          <c:spPr>
            <a:solidFill>
              <a:srgbClr val="C62828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'PM Dashboard'!$B$13:$B$19</c:f>
              <c:strCache>
                <c:ptCount val="7"/>
                <c:pt idx="0">
                  <c:v>Punjab</c:v>
                </c:pt>
                <c:pt idx="1">
                  <c:v>Sindh</c:v>
                </c:pt>
                <c:pt idx="2">
                  <c:v>Balochistan</c:v>
                </c:pt>
                <c:pt idx="3">
                  <c:v>KPK</c:v>
                </c:pt>
                <c:pt idx="4">
                  <c:v>ICT</c:v>
                </c:pt>
                <c:pt idx="5">
                  <c:v>AJK</c:v>
                </c:pt>
                <c:pt idx="6">
                  <c:v>GB</c:v>
                </c:pt>
              </c:strCache>
            </c:strRef>
          </c:cat>
          <c:val>
            <c:numRef>
              <c:f>'PM Dashboard'!$E$13:$E$19</c:f>
              <c:numCache>
                <c:formatCode>#,##0</c:formatCode>
                <c:ptCount val="7"/>
                <c:pt idx="0">
                  <c:v>85834</c:v>
                </c:pt>
                <c:pt idx="1">
                  <c:v>0</c:v>
                </c:pt>
                <c:pt idx="2">
                  <c:v>-460</c:v>
                </c:pt>
                <c:pt idx="3">
                  <c:v>0</c:v>
                </c:pt>
                <c:pt idx="4">
                  <c:v>49</c:v>
                </c:pt>
                <c:pt idx="5">
                  <c:v>995</c:v>
                </c:pt>
                <c:pt idx="6">
                  <c:v>18297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9E-2549-A034-73878032B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451632"/>
        <c:axId val="72267232"/>
      </c:barChart>
      <c:catAx>
        <c:axId val="4745163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US"/>
          </a:p>
        </c:txPr>
        <c:crossAx val="72267232"/>
        <c:crosses val="autoZero"/>
        <c:auto val="1"/>
        <c:lblAlgn val="ctr"/>
        <c:lblOffset val="100"/>
        <c:noMultiLvlLbl val="0"/>
      </c:catAx>
      <c:valAx>
        <c:axId val="7226723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US"/>
          </a:p>
        </c:txPr>
        <c:crossAx val="474516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34</xdr:row>
      <xdr:rowOff>28575</xdr:rowOff>
    </xdr:from>
    <xdr:to>
      <xdr:col>6</xdr:col>
      <xdr:colOff>1374615</xdr:colOff>
      <xdr:row>60</xdr:row>
      <xdr:rowOff>113895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5E20"/>
  </sheetPr>
  <dimension ref="A1:I31"/>
  <sheetViews>
    <sheetView showGridLines="0" topLeftCell="A8" zoomScaleNormal="100" workbookViewId="0">
      <selection activeCell="F13" sqref="F13"/>
    </sheetView>
  </sheetViews>
  <sheetFormatPr defaultColWidth="8.5" defaultRowHeight="15.95"/>
  <cols>
    <col min="1" max="1" width="2" customWidth="1"/>
    <col min="2" max="2" width="20" customWidth="1"/>
    <col min="3" max="3" width="16" customWidth="1"/>
    <col min="4" max="4" width="18.5" customWidth="1"/>
    <col min="5" max="5" width="23.875" customWidth="1"/>
    <col min="6" max="6" width="23.625" customWidth="1"/>
    <col min="7" max="7" width="20.875" customWidth="1"/>
    <col min="8" max="8" width="20" customWidth="1"/>
    <col min="9" max="9" width="25.875" customWidth="1"/>
    <col min="10" max="10" width="2" customWidth="1"/>
  </cols>
  <sheetData>
    <row r="1" spans="1:9" ht="7.5" customHeight="1">
      <c r="A1" s="2"/>
      <c r="B1" s="2"/>
      <c r="C1" s="2"/>
      <c r="D1" s="2"/>
      <c r="E1" s="2"/>
      <c r="F1" s="2"/>
      <c r="G1" s="2"/>
      <c r="H1" s="2"/>
      <c r="I1" s="2"/>
    </row>
    <row r="2" spans="1:9" ht="12" customHeight="1">
      <c r="A2" s="2"/>
      <c r="B2" s="2"/>
      <c r="C2" s="2"/>
      <c r="D2" s="2"/>
      <c r="E2" s="2"/>
      <c r="F2" s="2"/>
      <c r="G2" s="2"/>
      <c r="H2" s="2"/>
      <c r="I2" s="2"/>
    </row>
    <row r="3" spans="1:9" ht="42" customHeight="1">
      <c r="A3" s="2"/>
      <c r="B3" s="50" t="s">
        <v>0</v>
      </c>
      <c r="C3" s="50"/>
      <c r="D3" s="50"/>
      <c r="E3" s="50"/>
      <c r="F3" s="50"/>
      <c r="G3" s="51" t="s">
        <v>1</v>
      </c>
      <c r="H3" s="51"/>
      <c r="I3" s="51"/>
    </row>
    <row r="4" spans="1:9" ht="19.5" customHeight="1">
      <c r="A4" s="2"/>
      <c r="B4" s="63" t="s">
        <v>2</v>
      </c>
      <c r="C4" s="63"/>
      <c r="D4" s="63"/>
      <c r="E4" s="2"/>
      <c r="F4" s="2"/>
      <c r="G4" s="52" t="str">
        <f ca="1">IF('Processed by SBP'!G3&lt;&gt;"",TEXT('Processed by SBP'!G3,"DD-MMM-YYYY HH:MM")&amp;" hrs",TEXT(NOW(),"DD-MMM-YYYY HH:MM")&amp;" hrs")</f>
        <v>07-Apr-2026 16:16 hrs</v>
      </c>
      <c r="H4" s="52"/>
      <c r="I4" s="52"/>
    </row>
    <row r="5" spans="1:9" ht="3" customHeight="1">
      <c r="A5" s="3"/>
      <c r="B5" s="3"/>
      <c r="C5" s="3"/>
      <c r="D5" s="3"/>
      <c r="E5" s="3"/>
      <c r="F5" s="3"/>
      <c r="G5" s="3"/>
      <c r="H5" s="3"/>
      <c r="I5" s="3"/>
    </row>
    <row r="6" spans="1:9" ht="6" customHeight="1"/>
    <row r="7" spans="1:9" ht="30.75" customHeight="1">
      <c r="B7" s="53" t="s">
        <v>3</v>
      </c>
      <c r="C7" s="53"/>
      <c r="D7" s="1" t="s">
        <v>4</v>
      </c>
      <c r="E7" s="1" t="s">
        <v>5</v>
      </c>
      <c r="F7" s="1" t="s">
        <v>6</v>
      </c>
      <c r="G7" s="4" t="s">
        <v>7</v>
      </c>
      <c r="H7" s="4" t="s">
        <v>8</v>
      </c>
      <c r="I7" s="1" t="s">
        <v>9</v>
      </c>
    </row>
    <row r="8" spans="1:9" ht="48" customHeight="1">
      <c r="B8" s="56">
        <f>'Recd from ETO'!D52</f>
        <v>127011</v>
      </c>
      <c r="C8" s="56"/>
      <c r="D8" s="56">
        <f>'Sent to SBP'!D52</f>
        <v>127011</v>
      </c>
      <c r="E8" s="57">
        <f>'Returned by SBP'!C49</f>
        <v>460</v>
      </c>
      <c r="F8" s="55">
        <f>D8-E8-G8</f>
        <v>126551</v>
      </c>
      <c r="G8" s="54">
        <f>'Processed by SBP'!D50</f>
        <v>0</v>
      </c>
      <c r="H8" s="54">
        <f>'Processed by SBP'!F50</f>
        <v>0</v>
      </c>
      <c r="I8" s="55">
        <f>D8-G8</f>
        <v>127011</v>
      </c>
    </row>
    <row r="9" spans="1:9" ht="57.75" customHeight="1">
      <c r="B9" s="5" t="str">
        <f>"CNIC: "&amp;TEXT('Recd from ETO'!E52,"#,##0")</f>
        <v>CNIC: 113,989</v>
      </c>
      <c r="C9" s="6" t="str">
        <f>"NTN: "&amp;TEXT('Recd from ETO'!F52,"#,##0")</f>
        <v>NTN: 13,022</v>
      </c>
      <c r="D9" s="56"/>
      <c r="E9" s="56"/>
      <c r="F9" s="56"/>
      <c r="G9" s="54"/>
      <c r="H9" s="54"/>
      <c r="I9" s="56"/>
    </row>
    <row r="10" spans="1:9" ht="42.75" customHeight="1"/>
    <row r="11" spans="1:9" ht="25.5" customHeight="1" thickBot="1">
      <c r="B11" s="64" t="s">
        <v>10</v>
      </c>
      <c r="C11" s="64"/>
      <c r="D11" s="64"/>
      <c r="E11" s="64"/>
      <c r="F11" s="64"/>
      <c r="G11" s="64"/>
      <c r="H11" s="64"/>
      <c r="I11" s="65"/>
    </row>
    <row r="12" spans="1:9" ht="36" customHeight="1" thickTop="1">
      <c r="B12" s="7" t="s">
        <v>11</v>
      </c>
      <c r="C12" s="7" t="s">
        <v>12</v>
      </c>
      <c r="D12" s="7" t="s">
        <v>13</v>
      </c>
      <c r="E12" s="7" t="s">
        <v>14</v>
      </c>
      <c r="F12" s="7" t="s">
        <v>15</v>
      </c>
      <c r="G12" s="7" t="s">
        <v>16</v>
      </c>
      <c r="H12" s="8" t="s">
        <v>17</v>
      </c>
    </row>
    <row r="13" spans="1:9" ht="24" customHeight="1">
      <c r="B13" s="9" t="s">
        <v>18</v>
      </c>
      <c r="C13" s="10">
        <f>'Sent to SBP'!D10</f>
        <v>85834</v>
      </c>
      <c r="D13" s="11">
        <f>'Returned by SBP'!C7</f>
        <v>0</v>
      </c>
      <c r="E13" s="12">
        <f t="shared" ref="E13:E20" si="0">C13-D13-F13</f>
        <v>85834</v>
      </c>
      <c r="F13" s="13">
        <f>'Processed by SBP'!D8</f>
        <v>0</v>
      </c>
      <c r="G13" s="10">
        <f>'Processed by SBP'!F8</f>
        <v>0</v>
      </c>
      <c r="H13" s="12">
        <f t="shared" ref="H13:H20" si="1">C13-F13</f>
        <v>85834</v>
      </c>
    </row>
    <row r="14" spans="1:9" ht="24" customHeight="1">
      <c r="B14" s="14" t="s">
        <v>19</v>
      </c>
      <c r="C14" s="15">
        <f>'Sent to SBP'!D16</f>
        <v>0</v>
      </c>
      <c r="D14" s="16">
        <f>'Returned by SBP'!C13</f>
        <v>0</v>
      </c>
      <c r="E14" s="17">
        <f t="shared" si="0"/>
        <v>0</v>
      </c>
      <c r="F14" s="18">
        <f>'Processed by SBP'!D14</f>
        <v>0</v>
      </c>
      <c r="G14" s="15">
        <f>'Processed by SBP'!F14</f>
        <v>0</v>
      </c>
      <c r="H14" s="17">
        <f t="shared" si="1"/>
        <v>0</v>
      </c>
    </row>
    <row r="15" spans="1:9" ht="24" customHeight="1">
      <c r="B15" s="9" t="s">
        <v>20</v>
      </c>
      <c r="C15" s="10">
        <f>'Sent to SBP'!D22</f>
        <v>0</v>
      </c>
      <c r="D15" s="11">
        <f>'Returned by SBP'!C19</f>
        <v>460</v>
      </c>
      <c r="E15" s="12">
        <f t="shared" si="0"/>
        <v>-460</v>
      </c>
      <c r="F15" s="13">
        <f>'Processed by SBP'!D20</f>
        <v>0</v>
      </c>
      <c r="G15" s="10">
        <f>'Processed by SBP'!F20</f>
        <v>0</v>
      </c>
      <c r="H15" s="12">
        <f t="shared" si="1"/>
        <v>0</v>
      </c>
    </row>
    <row r="16" spans="1:9" ht="24" customHeight="1">
      <c r="B16" s="14" t="s">
        <v>21</v>
      </c>
      <c r="C16" s="15">
        <f>'Sent to SBP'!D28</f>
        <v>0</v>
      </c>
      <c r="D16" s="16">
        <f>'Returned by SBP'!C25</f>
        <v>0</v>
      </c>
      <c r="E16" s="17">
        <f t="shared" si="0"/>
        <v>0</v>
      </c>
      <c r="F16" s="18">
        <f>'Processed by SBP'!D26</f>
        <v>0</v>
      </c>
      <c r="G16" s="15">
        <f>'Processed by SBP'!F26</f>
        <v>0</v>
      </c>
      <c r="H16" s="17">
        <f t="shared" si="1"/>
        <v>0</v>
      </c>
    </row>
    <row r="17" spans="2:9" ht="24" customHeight="1">
      <c r="B17" s="9" t="s">
        <v>22</v>
      </c>
      <c r="C17" s="10">
        <f>'Sent to SBP'!D34</f>
        <v>49</v>
      </c>
      <c r="D17" s="11">
        <f>'Returned by SBP'!C31</f>
        <v>0</v>
      </c>
      <c r="E17" s="12">
        <f t="shared" si="0"/>
        <v>49</v>
      </c>
      <c r="F17" s="13">
        <f>'Processed by SBP'!D32</f>
        <v>0</v>
      </c>
      <c r="G17" s="10">
        <f>'Processed by SBP'!F32</f>
        <v>0</v>
      </c>
      <c r="H17" s="12">
        <f t="shared" si="1"/>
        <v>49</v>
      </c>
    </row>
    <row r="18" spans="2:9" ht="24" customHeight="1">
      <c r="B18" s="14" t="s">
        <v>23</v>
      </c>
      <c r="C18" s="15">
        <f>'Sent to SBP'!D40</f>
        <v>995</v>
      </c>
      <c r="D18" s="16">
        <f>'Returned by SBP'!C37</f>
        <v>0</v>
      </c>
      <c r="E18" s="17">
        <f t="shared" si="0"/>
        <v>995</v>
      </c>
      <c r="F18" s="18">
        <f>'Processed by SBP'!D38</f>
        <v>0</v>
      </c>
      <c r="G18" s="15">
        <f>'Processed by SBP'!F38</f>
        <v>0</v>
      </c>
      <c r="H18" s="17">
        <f t="shared" si="1"/>
        <v>995</v>
      </c>
    </row>
    <row r="19" spans="2:9" ht="24" customHeight="1">
      <c r="B19" s="9" t="s">
        <v>24</v>
      </c>
      <c r="C19" s="10">
        <f>'Sent to SBP'!D46</f>
        <v>18297</v>
      </c>
      <c r="D19" s="11">
        <f>'Returned by SBP'!C43</f>
        <v>0</v>
      </c>
      <c r="E19" s="12">
        <f t="shared" si="0"/>
        <v>18297</v>
      </c>
      <c r="F19" s="13">
        <f>'Processed by SBP'!D44</f>
        <v>0</v>
      </c>
      <c r="G19" s="10">
        <f>'Processed by SBP'!F44</f>
        <v>0</v>
      </c>
      <c r="H19" s="12">
        <f t="shared" si="1"/>
        <v>18297</v>
      </c>
    </row>
    <row r="20" spans="2:9" ht="27.75" customHeight="1">
      <c r="B20" s="19" t="s">
        <v>25</v>
      </c>
      <c r="C20" s="20">
        <f>SUM(C13:C19)</f>
        <v>105175</v>
      </c>
      <c r="D20" s="20">
        <f>SUM(D13:D19)</f>
        <v>460</v>
      </c>
      <c r="E20" s="20">
        <f t="shared" si="0"/>
        <v>104715</v>
      </c>
      <c r="F20" s="20">
        <f>SUM(F13:F19)</f>
        <v>0</v>
      </c>
      <c r="G20" s="20">
        <f>SUM(G13:G19)</f>
        <v>0</v>
      </c>
      <c r="H20" s="20">
        <f t="shared" si="1"/>
        <v>105175</v>
      </c>
    </row>
    <row r="21" spans="2:9" ht="6" customHeight="1"/>
    <row r="22" spans="2:9" ht="25.5" customHeight="1" thickBot="1">
      <c r="B22" s="64" t="s">
        <v>26</v>
      </c>
      <c r="C22" s="64"/>
      <c r="D22" s="64"/>
      <c r="E22" s="64"/>
      <c r="F22" s="64"/>
      <c r="G22" s="64"/>
      <c r="H22" s="64"/>
      <c r="I22" s="65"/>
    </row>
    <row r="23" spans="2:9" ht="36" customHeight="1" thickTop="1">
      <c r="B23" s="7" t="s">
        <v>27</v>
      </c>
      <c r="C23" s="7" t="s">
        <v>12</v>
      </c>
      <c r="D23" s="7" t="s">
        <v>13</v>
      </c>
      <c r="E23" s="7" t="s">
        <v>14</v>
      </c>
      <c r="F23" s="7" t="s">
        <v>15</v>
      </c>
      <c r="G23" s="7" t="s">
        <v>16</v>
      </c>
      <c r="H23" s="8" t="s">
        <v>17</v>
      </c>
    </row>
    <row r="24" spans="2:9" ht="24" customHeight="1">
      <c r="B24" s="9" t="s">
        <v>28</v>
      </c>
      <c r="C24" s="10">
        <f>'Sent to SBP'!D47</f>
        <v>41472</v>
      </c>
      <c r="D24" s="11">
        <f>'Returned by SBP'!C44</f>
        <v>0</v>
      </c>
      <c r="E24" s="12">
        <f t="shared" ref="E24:E29" si="2">C24-D24-F24</f>
        <v>41472</v>
      </c>
      <c r="F24" s="13">
        <f>'Processed by SBP'!D45</f>
        <v>0</v>
      </c>
      <c r="G24" s="10">
        <f>'Processed by SBP'!F45</f>
        <v>0</v>
      </c>
      <c r="H24" s="12">
        <f t="shared" ref="H24:H29" si="3">C24-F24</f>
        <v>41472</v>
      </c>
    </row>
    <row r="25" spans="2:9" ht="24" customHeight="1">
      <c r="B25" s="14" t="s">
        <v>29</v>
      </c>
      <c r="C25" s="15">
        <f>'Sent to SBP'!D48</f>
        <v>2035</v>
      </c>
      <c r="D25" s="16">
        <f>'Returned by SBP'!C45</f>
        <v>0</v>
      </c>
      <c r="E25" s="17">
        <f t="shared" si="2"/>
        <v>2035</v>
      </c>
      <c r="F25" s="18">
        <f>'Processed by SBP'!D46</f>
        <v>0</v>
      </c>
      <c r="G25" s="15">
        <f>'Processed by SBP'!F46</f>
        <v>0</v>
      </c>
      <c r="H25" s="17">
        <f t="shared" si="3"/>
        <v>2035</v>
      </c>
    </row>
    <row r="26" spans="2:9" ht="24" customHeight="1">
      <c r="B26" s="9" t="s">
        <v>30</v>
      </c>
      <c r="C26" s="10">
        <f>'Sent to SBP'!D49</f>
        <v>5559</v>
      </c>
      <c r="D26" s="11">
        <f>'Returned by SBP'!C46</f>
        <v>460</v>
      </c>
      <c r="E26" s="12">
        <f t="shared" si="2"/>
        <v>5099</v>
      </c>
      <c r="F26" s="13">
        <f>'Processed by SBP'!D47</f>
        <v>0</v>
      </c>
      <c r="G26" s="10">
        <f>'Processed by SBP'!F47</f>
        <v>0</v>
      </c>
      <c r="H26" s="12">
        <f t="shared" si="3"/>
        <v>5559</v>
      </c>
    </row>
    <row r="27" spans="2:9" ht="24" customHeight="1">
      <c r="B27" s="14" t="s">
        <v>31</v>
      </c>
      <c r="C27" s="15">
        <f>'Sent to SBP'!D50</f>
        <v>12259</v>
      </c>
      <c r="D27" s="16">
        <f>'Returned by SBP'!C47</f>
        <v>0</v>
      </c>
      <c r="E27" s="17">
        <f t="shared" si="2"/>
        <v>12259</v>
      </c>
      <c r="F27" s="18">
        <f>'Processed by SBP'!D48</f>
        <v>0</v>
      </c>
      <c r="G27" s="15">
        <f>'Processed by SBP'!F48</f>
        <v>0</v>
      </c>
      <c r="H27" s="17">
        <f t="shared" si="3"/>
        <v>12259</v>
      </c>
    </row>
    <row r="28" spans="2:9" ht="24" customHeight="1">
      <c r="B28" s="9" t="s">
        <v>32</v>
      </c>
      <c r="C28" s="10">
        <f>'Sent to SBP'!D51</f>
        <v>43850</v>
      </c>
      <c r="D28" s="11">
        <f>'Returned by SBP'!C48</f>
        <v>0</v>
      </c>
      <c r="E28" s="12">
        <f t="shared" si="2"/>
        <v>43850</v>
      </c>
      <c r="F28" s="13">
        <f>'Processed by SBP'!D49</f>
        <v>0</v>
      </c>
      <c r="G28" s="10">
        <f>'Processed by SBP'!F49</f>
        <v>0</v>
      </c>
      <c r="H28" s="12">
        <f t="shared" si="3"/>
        <v>43850</v>
      </c>
    </row>
    <row r="29" spans="2:9" ht="27.75" customHeight="1">
      <c r="B29" s="19" t="s">
        <v>25</v>
      </c>
      <c r="C29" s="20">
        <f>SUM(C24:C28)</f>
        <v>105175</v>
      </c>
      <c r="D29" s="20">
        <f>SUM(D24:D28)</f>
        <v>460</v>
      </c>
      <c r="E29" s="20">
        <f t="shared" si="2"/>
        <v>104715</v>
      </c>
      <c r="F29" s="20">
        <f>SUM(F24:F28)</f>
        <v>0</v>
      </c>
      <c r="G29" s="20">
        <f>SUM(G24:G28)</f>
        <v>0</v>
      </c>
      <c r="H29" s="20">
        <f t="shared" si="3"/>
        <v>105175</v>
      </c>
    </row>
    <row r="30" spans="2:9" ht="6" customHeight="1"/>
    <row r="31" spans="2:9" ht="25.5" customHeight="1">
      <c r="B31" s="66" t="s">
        <v>33</v>
      </c>
      <c r="C31" s="66"/>
      <c r="D31" s="66"/>
      <c r="E31" s="66"/>
      <c r="F31" s="66"/>
      <c r="G31" s="66"/>
      <c r="H31" s="66"/>
      <c r="I31" s="66"/>
    </row>
  </sheetData>
  <mergeCells count="15">
    <mergeCell ref="H8:H9"/>
    <mergeCell ref="I8:I9"/>
    <mergeCell ref="B11:I11"/>
    <mergeCell ref="B22:I22"/>
    <mergeCell ref="B31:I31"/>
    <mergeCell ref="B8:C8"/>
    <mergeCell ref="D8:D9"/>
    <mergeCell ref="E8:E9"/>
    <mergeCell ref="F8:F9"/>
    <mergeCell ref="G8:G9"/>
    <mergeCell ref="B3:F3"/>
    <mergeCell ref="G3:I3"/>
    <mergeCell ref="B4:D4"/>
    <mergeCell ref="G4:I4"/>
    <mergeCell ref="B7:C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52"/>
  <sheetViews>
    <sheetView zoomScale="84" zoomScaleNormal="84" workbookViewId="0">
      <selection activeCell="G57" sqref="G57"/>
    </sheetView>
  </sheetViews>
  <sheetFormatPr defaultColWidth="11" defaultRowHeight="15.75" customHeight="1"/>
  <cols>
    <col min="3" max="3" width="18.375" customWidth="1"/>
  </cols>
  <sheetData>
    <row r="2" spans="2:8" ht="15.75" customHeight="1">
      <c r="B2" s="60" t="s">
        <v>34</v>
      </c>
      <c r="C2" s="60"/>
      <c r="D2" s="60"/>
      <c r="E2" s="60"/>
      <c r="F2" s="60"/>
      <c r="G2" s="60"/>
    </row>
    <row r="4" spans="2:8" ht="15.75" customHeight="1">
      <c r="B4" s="21"/>
      <c r="C4" s="21"/>
      <c r="D4" s="21" t="s">
        <v>35</v>
      </c>
      <c r="E4" s="21" t="s">
        <v>36</v>
      </c>
      <c r="F4" s="21" t="s">
        <v>37</v>
      </c>
      <c r="G4" s="21" t="s">
        <v>38</v>
      </c>
      <c r="H4" s="21" t="s">
        <v>39</v>
      </c>
    </row>
    <row r="5" spans="2:8" ht="15.75" customHeight="1">
      <c r="B5" s="61" t="s">
        <v>18</v>
      </c>
      <c r="C5" s="22" t="s">
        <v>28</v>
      </c>
      <c r="D5" s="23">
        <f>SUM(E5,F5)</f>
        <v>26952</v>
      </c>
      <c r="E5" s="23">
        <v>23833</v>
      </c>
      <c r="F5" s="23">
        <v>3119</v>
      </c>
      <c r="G5" s="23"/>
      <c r="H5" s="24"/>
    </row>
    <row r="6" spans="2:8" ht="15.75" customHeight="1">
      <c r="B6" s="61"/>
      <c r="C6" s="22" t="s">
        <v>29</v>
      </c>
      <c r="D6" s="23">
        <f t="shared" ref="D6:D52" si="0">SUM(E6,F6)</f>
        <v>1342</v>
      </c>
      <c r="E6" s="23">
        <v>1252</v>
      </c>
      <c r="F6" s="23">
        <v>90</v>
      </c>
      <c r="G6" s="23"/>
      <c r="H6" s="24"/>
    </row>
    <row r="7" spans="2:8" ht="15.75" customHeight="1">
      <c r="B7" s="61"/>
      <c r="C7" s="22" t="s">
        <v>30</v>
      </c>
      <c r="D7" s="23">
        <f t="shared" si="0"/>
        <v>5364</v>
      </c>
      <c r="E7" s="23">
        <v>4124</v>
      </c>
      <c r="F7" s="23">
        <v>1240</v>
      </c>
      <c r="G7" s="23"/>
      <c r="H7" s="24"/>
    </row>
    <row r="8" spans="2:8" ht="15.75" customHeight="1">
      <c r="B8" s="61"/>
      <c r="C8" s="22" t="s">
        <v>31</v>
      </c>
      <c r="D8" s="23">
        <f t="shared" si="0"/>
        <v>10309</v>
      </c>
      <c r="E8" s="23">
        <v>9915</v>
      </c>
      <c r="F8" s="23">
        <v>394</v>
      </c>
      <c r="G8" s="23"/>
      <c r="H8" s="24"/>
    </row>
    <row r="9" spans="2:8" ht="15.75" customHeight="1">
      <c r="B9" s="61"/>
      <c r="C9" s="22" t="s">
        <v>32</v>
      </c>
      <c r="D9" s="23">
        <f t="shared" si="0"/>
        <v>41867</v>
      </c>
      <c r="E9" s="23">
        <v>33690</v>
      </c>
      <c r="F9" s="23">
        <v>8177</v>
      </c>
      <c r="G9" s="23"/>
      <c r="H9" s="24"/>
    </row>
    <row r="10" spans="2:8" ht="15.75" customHeight="1">
      <c r="B10" s="61"/>
      <c r="C10" s="22" t="s">
        <v>35</v>
      </c>
      <c r="D10" s="23">
        <f t="shared" si="0"/>
        <v>85834</v>
      </c>
      <c r="E10" s="23">
        <v>72814</v>
      </c>
      <c r="F10" s="23">
        <v>13020</v>
      </c>
      <c r="G10" s="23"/>
      <c r="H10" s="24"/>
    </row>
    <row r="11" spans="2:8" ht="15.75" customHeight="1">
      <c r="B11" s="62" t="s">
        <v>19</v>
      </c>
      <c r="C11" s="25" t="s">
        <v>28</v>
      </c>
      <c r="D11" s="23">
        <f t="shared" si="0"/>
        <v>0</v>
      </c>
      <c r="E11" s="26"/>
      <c r="F11" s="26"/>
      <c r="G11" s="26"/>
      <c r="H11" s="27"/>
    </row>
    <row r="12" spans="2:8" ht="15.75" customHeight="1">
      <c r="B12" s="62"/>
      <c r="C12" s="25" t="s">
        <v>29</v>
      </c>
      <c r="D12" s="23">
        <f t="shared" si="0"/>
        <v>0</v>
      </c>
      <c r="E12" s="26"/>
      <c r="F12" s="26"/>
      <c r="G12" s="26"/>
      <c r="H12" s="27"/>
    </row>
    <row r="13" spans="2:8" ht="15.75" customHeight="1">
      <c r="B13" s="62"/>
      <c r="C13" s="25" t="s">
        <v>30</v>
      </c>
      <c r="D13" s="23">
        <f t="shared" si="0"/>
        <v>0</v>
      </c>
      <c r="E13" s="26"/>
      <c r="F13" s="26"/>
      <c r="G13" s="26"/>
      <c r="H13" s="27"/>
    </row>
    <row r="14" spans="2:8" ht="15.75" customHeight="1">
      <c r="B14" s="62"/>
      <c r="C14" s="25" t="s">
        <v>31</v>
      </c>
      <c r="D14" s="23">
        <f t="shared" si="0"/>
        <v>0</v>
      </c>
      <c r="E14" s="26"/>
      <c r="F14" s="26"/>
      <c r="G14" s="26"/>
      <c r="H14" s="27"/>
    </row>
    <row r="15" spans="2:8" ht="15.75" customHeight="1">
      <c r="B15" s="62"/>
      <c r="C15" s="25" t="s">
        <v>32</v>
      </c>
      <c r="D15" s="23">
        <f t="shared" si="0"/>
        <v>0</v>
      </c>
      <c r="E15" s="26"/>
      <c r="F15" s="26"/>
      <c r="G15" s="26"/>
      <c r="H15" s="27"/>
    </row>
    <row r="16" spans="2:8" ht="15.75" customHeight="1">
      <c r="B16" s="62"/>
      <c r="C16" s="25" t="s">
        <v>35</v>
      </c>
      <c r="D16" s="23">
        <f t="shared" si="0"/>
        <v>0</v>
      </c>
      <c r="E16" s="26"/>
      <c r="F16" s="26"/>
      <c r="G16" s="26"/>
      <c r="H16" s="27"/>
    </row>
    <row r="17" spans="2:8" ht="15.75" customHeight="1">
      <c r="B17" s="58" t="s">
        <v>20</v>
      </c>
      <c r="C17" s="22" t="s">
        <v>28</v>
      </c>
      <c r="D17" s="23">
        <f t="shared" si="0"/>
        <v>0</v>
      </c>
      <c r="E17" s="28"/>
      <c r="F17" s="28"/>
      <c r="G17" s="28"/>
      <c r="H17" s="29"/>
    </row>
    <row r="18" spans="2:8" ht="15.75" customHeight="1">
      <c r="B18" s="58"/>
      <c r="C18" s="22" t="s">
        <v>29</v>
      </c>
      <c r="D18" s="23">
        <f t="shared" si="0"/>
        <v>0</v>
      </c>
      <c r="E18" s="30"/>
      <c r="F18" s="30"/>
      <c r="G18" s="30"/>
      <c r="H18" s="31"/>
    </row>
    <row r="19" spans="2:8" ht="15.75" customHeight="1">
      <c r="B19" s="58"/>
      <c r="C19" s="22" t="s">
        <v>30</v>
      </c>
      <c r="D19" s="23">
        <f t="shared" si="0"/>
        <v>0</v>
      </c>
      <c r="E19" s="30"/>
      <c r="F19" s="30"/>
      <c r="G19" s="30"/>
      <c r="H19" s="31"/>
    </row>
    <row r="20" spans="2:8" ht="15.75" customHeight="1">
      <c r="B20" s="58"/>
      <c r="C20" s="22" t="s">
        <v>31</v>
      </c>
      <c r="D20" s="23">
        <f t="shared" si="0"/>
        <v>0</v>
      </c>
      <c r="E20" s="30"/>
      <c r="F20" s="30"/>
      <c r="G20" s="30"/>
      <c r="H20" s="31"/>
    </row>
    <row r="21" spans="2:8" ht="15.75" customHeight="1">
      <c r="B21" s="58"/>
      <c r="C21" s="22" t="s">
        <v>32</v>
      </c>
      <c r="D21" s="23">
        <f t="shared" si="0"/>
        <v>0</v>
      </c>
      <c r="E21" s="30"/>
      <c r="F21" s="30"/>
      <c r="G21" s="30"/>
      <c r="H21" s="31"/>
    </row>
    <row r="22" spans="2:8" ht="15.75" customHeight="1">
      <c r="B22" s="58"/>
      <c r="C22" s="22" t="s">
        <v>35</v>
      </c>
      <c r="D22" s="23">
        <f t="shared" si="0"/>
        <v>0</v>
      </c>
      <c r="E22" s="30"/>
      <c r="F22" s="30"/>
      <c r="G22" s="30"/>
      <c r="H22" s="31"/>
    </row>
    <row r="23" spans="2:8" ht="15.75" customHeight="1">
      <c r="B23" s="59" t="s">
        <v>21</v>
      </c>
      <c r="C23" s="25" t="s">
        <v>28</v>
      </c>
      <c r="D23" s="23">
        <f t="shared" si="0"/>
        <v>11296</v>
      </c>
      <c r="E23" s="32">
        <v>11296</v>
      </c>
      <c r="F23" s="32"/>
      <c r="G23" s="32"/>
      <c r="H23" s="33"/>
    </row>
    <row r="24" spans="2:8" ht="15.75" customHeight="1">
      <c r="B24" s="59"/>
      <c r="C24" s="25" t="s">
        <v>29</v>
      </c>
      <c r="D24" s="23">
        <f t="shared" si="0"/>
        <v>46</v>
      </c>
      <c r="E24" s="34">
        <v>46</v>
      </c>
      <c r="F24" s="34"/>
      <c r="G24" s="34"/>
      <c r="H24" s="35"/>
    </row>
    <row r="25" spans="2:8" ht="15.75" customHeight="1">
      <c r="B25" s="59"/>
      <c r="C25" s="25" t="s">
        <v>30</v>
      </c>
      <c r="D25" s="23">
        <f t="shared" si="0"/>
        <v>354</v>
      </c>
      <c r="E25" s="34">
        <v>354</v>
      </c>
      <c r="F25" s="34"/>
      <c r="G25" s="34"/>
      <c r="H25" s="35"/>
    </row>
    <row r="26" spans="2:8" ht="15.75" customHeight="1">
      <c r="B26" s="59"/>
      <c r="C26" s="25" t="s">
        <v>31</v>
      </c>
      <c r="D26" s="23">
        <f t="shared" si="0"/>
        <v>3395</v>
      </c>
      <c r="E26" s="34">
        <v>3395</v>
      </c>
      <c r="F26" s="34"/>
      <c r="G26" s="34"/>
      <c r="H26" s="35"/>
    </row>
    <row r="27" spans="2:8" ht="15.75" customHeight="1">
      <c r="B27" s="59"/>
      <c r="C27" s="25" t="s">
        <v>32</v>
      </c>
      <c r="D27" s="23">
        <f t="shared" si="0"/>
        <v>16445</v>
      </c>
      <c r="E27" s="34">
        <v>16445</v>
      </c>
      <c r="F27" s="34"/>
      <c r="G27" s="34"/>
      <c r="H27" s="35"/>
    </row>
    <row r="28" spans="2:8" ht="15.75" customHeight="1">
      <c r="B28" s="59"/>
      <c r="C28" s="25" t="s">
        <v>35</v>
      </c>
      <c r="D28" s="23">
        <f t="shared" si="0"/>
        <v>31536</v>
      </c>
      <c r="E28" s="34">
        <v>31536</v>
      </c>
      <c r="F28" s="34"/>
      <c r="G28" s="34"/>
      <c r="H28" s="35"/>
    </row>
    <row r="29" spans="2:8" ht="15.75" customHeight="1">
      <c r="B29" s="58" t="s">
        <v>22</v>
      </c>
      <c r="C29" s="22" t="s">
        <v>28</v>
      </c>
      <c r="D29" s="23">
        <f t="shared" si="0"/>
        <v>0</v>
      </c>
      <c r="E29" s="28"/>
      <c r="F29" s="28"/>
      <c r="G29" s="28"/>
      <c r="H29" s="29"/>
    </row>
    <row r="30" spans="2:8" ht="15.75" customHeight="1">
      <c r="B30" s="58"/>
      <c r="C30" s="22" t="s">
        <v>29</v>
      </c>
      <c r="D30" s="23">
        <f t="shared" si="0"/>
        <v>0</v>
      </c>
      <c r="E30" s="30"/>
      <c r="F30" s="30"/>
      <c r="G30" s="30"/>
      <c r="H30" s="31"/>
    </row>
    <row r="31" spans="2:8" ht="15.75" customHeight="1">
      <c r="B31" s="58"/>
      <c r="C31" s="22" t="s">
        <v>30</v>
      </c>
      <c r="D31" s="23">
        <f t="shared" si="0"/>
        <v>0</v>
      </c>
      <c r="E31" s="30"/>
      <c r="F31" s="30"/>
      <c r="G31" s="30"/>
      <c r="H31" s="31"/>
    </row>
    <row r="32" spans="2:8" ht="15.75" customHeight="1">
      <c r="B32" s="58"/>
      <c r="C32" s="22" t="s">
        <v>31</v>
      </c>
      <c r="D32" s="23">
        <f t="shared" si="0"/>
        <v>14</v>
      </c>
      <c r="E32" s="30">
        <v>13</v>
      </c>
      <c r="F32" s="30">
        <v>1</v>
      </c>
      <c r="G32" s="30"/>
      <c r="H32" s="31"/>
    </row>
    <row r="33" spans="2:8" ht="15.75" customHeight="1">
      <c r="B33" s="58"/>
      <c r="C33" s="22" t="s">
        <v>32</v>
      </c>
      <c r="D33" s="23">
        <f t="shared" si="0"/>
        <v>35</v>
      </c>
      <c r="E33" s="30">
        <v>34</v>
      </c>
      <c r="F33" s="30">
        <v>1</v>
      </c>
      <c r="G33" s="30"/>
      <c r="H33" s="31"/>
    </row>
    <row r="34" spans="2:8" ht="15.75" customHeight="1">
      <c r="B34" s="58"/>
      <c r="C34" s="22" t="s">
        <v>35</v>
      </c>
      <c r="D34" s="23">
        <f t="shared" si="0"/>
        <v>49</v>
      </c>
      <c r="E34" s="30">
        <v>47</v>
      </c>
      <c r="F34" s="30">
        <v>2</v>
      </c>
      <c r="G34" s="30"/>
      <c r="H34" s="31"/>
    </row>
    <row r="35" spans="2:8" ht="15.75" customHeight="1">
      <c r="B35" s="59" t="s">
        <v>23</v>
      </c>
      <c r="C35" s="25" t="s">
        <v>28</v>
      </c>
      <c r="D35" s="23">
        <f t="shared" si="0"/>
        <v>781</v>
      </c>
      <c r="E35" s="32">
        <v>781</v>
      </c>
      <c r="F35" s="32">
        <v>0</v>
      </c>
      <c r="G35" s="32"/>
      <c r="H35" s="33"/>
    </row>
    <row r="36" spans="2:8" ht="15.75" customHeight="1">
      <c r="B36" s="59"/>
      <c r="C36" s="25" t="s">
        <v>29</v>
      </c>
      <c r="D36" s="23">
        <f t="shared" si="0"/>
        <v>33</v>
      </c>
      <c r="E36" s="34">
        <v>33</v>
      </c>
      <c r="F36" s="34">
        <v>0</v>
      </c>
      <c r="G36" s="34"/>
      <c r="H36" s="35"/>
    </row>
    <row r="37" spans="2:8" ht="15.75" customHeight="1">
      <c r="B37" s="59"/>
      <c r="C37" s="25" t="s">
        <v>30</v>
      </c>
      <c r="D37" s="23">
        <f t="shared" si="0"/>
        <v>17</v>
      </c>
      <c r="E37" s="34">
        <v>17</v>
      </c>
      <c r="F37" s="34">
        <v>0</v>
      </c>
      <c r="G37" s="34"/>
      <c r="H37" s="35"/>
    </row>
    <row r="38" spans="2:8" ht="15.75" customHeight="1">
      <c r="B38" s="59"/>
      <c r="C38" s="25" t="s">
        <v>31</v>
      </c>
      <c r="D38" s="23">
        <f t="shared" si="0"/>
        <v>164</v>
      </c>
      <c r="E38" s="34">
        <v>164</v>
      </c>
      <c r="F38" s="34">
        <v>0</v>
      </c>
      <c r="G38" s="34"/>
      <c r="H38" s="35"/>
    </row>
    <row r="39" spans="2:8" ht="15.75" customHeight="1">
      <c r="B39" s="59"/>
      <c r="C39" s="25" t="s">
        <v>32</v>
      </c>
      <c r="D39" s="23">
        <f t="shared" si="0"/>
        <v>0</v>
      </c>
      <c r="E39" s="34">
        <v>0</v>
      </c>
      <c r="F39" s="34">
        <v>0</v>
      </c>
      <c r="G39" s="34"/>
      <c r="H39" s="35"/>
    </row>
    <row r="40" spans="2:8" ht="15.75" customHeight="1">
      <c r="B40" s="59"/>
      <c r="C40" s="25" t="s">
        <v>35</v>
      </c>
      <c r="D40" s="23">
        <f t="shared" si="0"/>
        <v>995</v>
      </c>
      <c r="E40" s="34">
        <v>995</v>
      </c>
      <c r="F40" s="34"/>
      <c r="G40" s="34"/>
      <c r="H40" s="35"/>
    </row>
    <row r="41" spans="2:8" ht="15.75" customHeight="1">
      <c r="B41" s="58" t="s">
        <v>24</v>
      </c>
      <c r="C41" s="22" t="s">
        <v>28</v>
      </c>
      <c r="D41" s="23">
        <f t="shared" si="0"/>
        <v>7707</v>
      </c>
      <c r="E41" s="28">
        <v>7707</v>
      </c>
      <c r="F41" s="28">
        <v>0</v>
      </c>
      <c r="G41" s="28">
        <v>5882</v>
      </c>
      <c r="H41" s="29"/>
    </row>
    <row r="42" spans="2:8" ht="15.75" customHeight="1">
      <c r="B42" s="58"/>
      <c r="C42" s="22" t="s">
        <v>29</v>
      </c>
      <c r="D42" s="23">
        <f t="shared" si="0"/>
        <v>469</v>
      </c>
      <c r="E42" s="30">
        <v>469</v>
      </c>
      <c r="F42" s="30">
        <v>0</v>
      </c>
      <c r="G42" s="30">
        <v>191</v>
      </c>
      <c r="H42" s="31"/>
    </row>
    <row r="43" spans="2:8" ht="15.75" customHeight="1">
      <c r="B43" s="58"/>
      <c r="C43" s="22" t="s">
        <v>30</v>
      </c>
      <c r="D43" s="23">
        <f t="shared" si="0"/>
        <v>54</v>
      </c>
      <c r="E43" s="30">
        <v>54</v>
      </c>
      <c r="F43" s="30">
        <v>0</v>
      </c>
      <c r="G43" s="30">
        <v>124</v>
      </c>
      <c r="H43" s="31"/>
    </row>
    <row r="44" spans="2:8" ht="15.75" customHeight="1">
      <c r="B44" s="58"/>
      <c r="C44" s="22" t="s">
        <v>31</v>
      </c>
      <c r="D44" s="23">
        <f t="shared" si="0"/>
        <v>155</v>
      </c>
      <c r="E44" s="30">
        <v>155</v>
      </c>
      <c r="F44" s="30">
        <v>0</v>
      </c>
      <c r="G44" s="30">
        <v>300</v>
      </c>
      <c r="H44" s="31"/>
    </row>
    <row r="45" spans="2:8" ht="15.75" customHeight="1">
      <c r="B45" s="58"/>
      <c r="C45" s="22" t="s">
        <v>32</v>
      </c>
      <c r="D45" s="23">
        <f t="shared" si="0"/>
        <v>212</v>
      </c>
      <c r="E45" s="30">
        <v>212</v>
      </c>
      <c r="F45" s="30">
        <v>0</v>
      </c>
      <c r="G45" s="30">
        <v>502</v>
      </c>
      <c r="H45" s="31"/>
    </row>
    <row r="46" spans="2:8" ht="15.75" customHeight="1">
      <c r="B46" s="58"/>
      <c r="C46" s="22" t="s">
        <v>35</v>
      </c>
      <c r="D46" s="23">
        <f t="shared" si="0"/>
        <v>8597</v>
      </c>
      <c r="E46" s="30">
        <v>8597</v>
      </c>
      <c r="F46" s="30">
        <v>0</v>
      </c>
      <c r="G46" s="30">
        <v>6999</v>
      </c>
      <c r="H46" s="31"/>
    </row>
    <row r="47" spans="2:8" ht="15.75" customHeight="1">
      <c r="B47" s="59" t="s">
        <v>35</v>
      </c>
      <c r="C47" s="25" t="s">
        <v>28</v>
      </c>
      <c r="D47" s="23">
        <f t="shared" si="0"/>
        <v>46736</v>
      </c>
      <c r="E47" s="36">
        <f t="shared" ref="D47:G52" si="1">E5+E11+E17+E23+E29+E35+E41</f>
        <v>43617</v>
      </c>
      <c r="F47" s="36">
        <f t="shared" si="1"/>
        <v>3119</v>
      </c>
      <c r="G47" s="36">
        <f t="shared" si="1"/>
        <v>5882</v>
      </c>
      <c r="H47" s="37"/>
    </row>
    <row r="48" spans="2:8" ht="15.75" customHeight="1">
      <c r="B48" s="59"/>
      <c r="C48" s="25" t="s">
        <v>29</v>
      </c>
      <c r="D48" s="23">
        <f t="shared" si="0"/>
        <v>1890</v>
      </c>
      <c r="E48" s="36">
        <f t="shared" si="1"/>
        <v>1800</v>
      </c>
      <c r="F48" s="36">
        <f t="shared" si="1"/>
        <v>90</v>
      </c>
      <c r="G48" s="36">
        <f t="shared" si="1"/>
        <v>191</v>
      </c>
      <c r="H48" s="38"/>
    </row>
    <row r="49" spans="2:8" ht="15.75" customHeight="1">
      <c r="B49" s="59"/>
      <c r="C49" s="25" t="s">
        <v>30</v>
      </c>
      <c r="D49" s="23">
        <f t="shared" si="0"/>
        <v>5789</v>
      </c>
      <c r="E49" s="36">
        <f t="shared" si="1"/>
        <v>4549</v>
      </c>
      <c r="F49" s="36">
        <f t="shared" si="1"/>
        <v>1240</v>
      </c>
      <c r="G49" s="36">
        <f t="shared" si="1"/>
        <v>124</v>
      </c>
      <c r="H49" s="38"/>
    </row>
    <row r="50" spans="2:8" ht="15.75" customHeight="1">
      <c r="B50" s="59"/>
      <c r="C50" s="25" t="s">
        <v>31</v>
      </c>
      <c r="D50" s="23">
        <f t="shared" si="0"/>
        <v>14037</v>
      </c>
      <c r="E50" s="36">
        <f t="shared" si="1"/>
        <v>13642</v>
      </c>
      <c r="F50" s="36">
        <f t="shared" si="1"/>
        <v>395</v>
      </c>
      <c r="G50" s="36">
        <f t="shared" si="1"/>
        <v>300</v>
      </c>
      <c r="H50" s="38"/>
    </row>
    <row r="51" spans="2:8" ht="15.75" customHeight="1">
      <c r="B51" s="59"/>
      <c r="C51" s="25" t="s">
        <v>32</v>
      </c>
      <c r="D51" s="23">
        <f t="shared" si="0"/>
        <v>58559</v>
      </c>
      <c r="E51" s="36">
        <f t="shared" si="1"/>
        <v>50381</v>
      </c>
      <c r="F51" s="36">
        <f t="shared" si="1"/>
        <v>8178</v>
      </c>
      <c r="G51" s="36">
        <f t="shared" si="1"/>
        <v>502</v>
      </c>
      <c r="H51" s="38"/>
    </row>
    <row r="52" spans="2:8" ht="15.75" customHeight="1">
      <c r="B52" s="59"/>
      <c r="C52" s="25" t="s">
        <v>35</v>
      </c>
      <c r="D52" s="23">
        <f t="shared" si="0"/>
        <v>127011</v>
      </c>
      <c r="E52" s="36">
        <f t="shared" si="1"/>
        <v>113989</v>
      </c>
      <c r="F52" s="36">
        <f t="shared" si="1"/>
        <v>13022</v>
      </c>
      <c r="G52" s="36">
        <f t="shared" si="1"/>
        <v>6999</v>
      </c>
      <c r="H52" s="38"/>
    </row>
  </sheetData>
  <mergeCells count="9">
    <mergeCell ref="B29:B34"/>
    <mergeCell ref="B35:B40"/>
    <mergeCell ref="B41:B46"/>
    <mergeCell ref="B47:B52"/>
    <mergeCell ref="B2:G2"/>
    <mergeCell ref="B5:B10"/>
    <mergeCell ref="B11:B16"/>
    <mergeCell ref="B17:B22"/>
    <mergeCell ref="B23:B2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52"/>
  <sheetViews>
    <sheetView zoomScale="84" zoomScaleNormal="84" workbookViewId="0">
      <selection activeCell="D53" sqref="D53"/>
    </sheetView>
  </sheetViews>
  <sheetFormatPr defaultColWidth="11" defaultRowHeight="15.75" customHeight="1"/>
  <cols>
    <col min="3" max="3" width="18.375" customWidth="1"/>
  </cols>
  <sheetData>
    <row r="2" spans="2:8" ht="15.75" customHeight="1">
      <c r="B2" s="60" t="s">
        <v>12</v>
      </c>
      <c r="C2" s="60"/>
      <c r="D2" s="60"/>
      <c r="E2" s="60"/>
      <c r="F2" s="60"/>
      <c r="G2" s="60"/>
    </row>
    <row r="4" spans="2:8" ht="15.75" customHeight="1">
      <c r="B4" s="21"/>
      <c r="C4" s="21"/>
      <c r="D4" s="21" t="s">
        <v>35</v>
      </c>
      <c r="E4" s="21" t="s">
        <v>36</v>
      </c>
      <c r="F4" s="21" t="s">
        <v>37</v>
      </c>
      <c r="G4" s="21" t="s">
        <v>38</v>
      </c>
      <c r="H4" s="21" t="s">
        <v>39</v>
      </c>
    </row>
    <row r="5" spans="2:8" ht="15.75" customHeight="1">
      <c r="B5" s="61" t="s">
        <v>18</v>
      </c>
      <c r="C5" s="22" t="s">
        <v>28</v>
      </c>
      <c r="D5" s="23">
        <v>26952</v>
      </c>
      <c r="E5" s="23">
        <v>23833</v>
      </c>
      <c r="F5" s="23">
        <v>3119</v>
      </c>
      <c r="G5" s="23"/>
      <c r="H5" s="24"/>
    </row>
    <row r="6" spans="2:8" ht="15.75" customHeight="1">
      <c r="B6" s="61"/>
      <c r="C6" s="22" t="s">
        <v>29</v>
      </c>
      <c r="D6" s="23">
        <v>1342</v>
      </c>
      <c r="E6" s="23">
        <v>1252</v>
      </c>
      <c r="F6" s="23">
        <v>90</v>
      </c>
      <c r="G6" s="23"/>
      <c r="H6" s="24"/>
    </row>
    <row r="7" spans="2:8" ht="15.75" customHeight="1">
      <c r="B7" s="61"/>
      <c r="C7" s="22" t="s">
        <v>30</v>
      </c>
      <c r="D7" s="23">
        <v>5364</v>
      </c>
      <c r="E7" s="23">
        <v>4124</v>
      </c>
      <c r="F7" s="23">
        <v>1240</v>
      </c>
      <c r="G7" s="23"/>
      <c r="H7" s="24"/>
    </row>
    <row r="8" spans="2:8" ht="15.75" customHeight="1">
      <c r="B8" s="61"/>
      <c r="C8" s="22" t="s">
        <v>31</v>
      </c>
      <c r="D8" s="23">
        <v>10309</v>
      </c>
      <c r="E8" s="23">
        <v>9915</v>
      </c>
      <c r="F8" s="23">
        <v>394</v>
      </c>
      <c r="G8" s="23"/>
      <c r="H8" s="24"/>
    </row>
    <row r="9" spans="2:8" ht="15.75" customHeight="1">
      <c r="B9" s="61"/>
      <c r="C9" s="22" t="s">
        <v>32</v>
      </c>
      <c r="D9" s="23">
        <v>41867</v>
      </c>
      <c r="E9" s="23">
        <v>33690</v>
      </c>
      <c r="F9" s="23">
        <v>8177</v>
      </c>
      <c r="G9" s="23"/>
      <c r="H9" s="24"/>
    </row>
    <row r="10" spans="2:8" ht="15.75" customHeight="1">
      <c r="B10" s="61"/>
      <c r="C10" s="22" t="s">
        <v>35</v>
      </c>
      <c r="D10" s="23">
        <v>85834</v>
      </c>
      <c r="E10" s="23">
        <v>72814</v>
      </c>
      <c r="F10" s="23">
        <v>13020</v>
      </c>
      <c r="G10" s="23"/>
      <c r="H10" s="24"/>
    </row>
    <row r="11" spans="2:8" ht="15.75" customHeight="1">
      <c r="B11" s="62" t="s">
        <v>19</v>
      </c>
      <c r="C11" s="25" t="s">
        <v>28</v>
      </c>
      <c r="D11" s="26"/>
      <c r="E11" s="26"/>
      <c r="F11" s="26"/>
      <c r="G11" s="26"/>
      <c r="H11" s="27"/>
    </row>
    <row r="12" spans="2:8" ht="15.75" customHeight="1">
      <c r="B12" s="62"/>
      <c r="C12" s="25" t="s">
        <v>29</v>
      </c>
      <c r="D12" s="26"/>
      <c r="E12" s="26"/>
      <c r="F12" s="26"/>
      <c r="G12" s="26"/>
      <c r="H12" s="27"/>
    </row>
    <row r="13" spans="2:8" ht="15.75" customHeight="1">
      <c r="B13" s="62"/>
      <c r="C13" s="25" t="s">
        <v>30</v>
      </c>
      <c r="D13" s="26"/>
      <c r="E13" s="26"/>
      <c r="F13" s="26"/>
      <c r="G13" s="26"/>
      <c r="H13" s="27"/>
    </row>
    <row r="14" spans="2:8" ht="15.75" customHeight="1">
      <c r="B14" s="62"/>
      <c r="C14" s="25" t="s">
        <v>31</v>
      </c>
      <c r="D14" s="26"/>
      <c r="E14" s="26"/>
      <c r="F14" s="26"/>
      <c r="G14" s="26"/>
      <c r="H14" s="27"/>
    </row>
    <row r="15" spans="2:8" ht="15.75" customHeight="1">
      <c r="B15" s="62"/>
      <c r="C15" s="25" t="s">
        <v>32</v>
      </c>
      <c r="D15" s="26"/>
      <c r="E15" s="26"/>
      <c r="F15" s="26"/>
      <c r="G15" s="26"/>
      <c r="H15" s="27"/>
    </row>
    <row r="16" spans="2:8" ht="15.75" customHeight="1">
      <c r="B16" s="62"/>
      <c r="C16" s="25" t="s">
        <v>35</v>
      </c>
      <c r="D16" s="26"/>
      <c r="E16" s="26"/>
      <c r="F16" s="26"/>
      <c r="G16" s="26"/>
      <c r="H16" s="27"/>
    </row>
    <row r="17" spans="2:8" ht="15.75" customHeight="1">
      <c r="B17" s="58" t="s">
        <v>20</v>
      </c>
      <c r="C17" s="22" t="s">
        <v>28</v>
      </c>
      <c r="D17" s="28"/>
      <c r="E17" s="28"/>
      <c r="F17" s="28"/>
      <c r="G17" s="28"/>
      <c r="H17" s="29"/>
    </row>
    <row r="18" spans="2:8" ht="15.75" customHeight="1">
      <c r="B18" s="58"/>
      <c r="C18" s="22" t="s">
        <v>29</v>
      </c>
      <c r="D18" s="30"/>
      <c r="E18" s="30"/>
      <c r="F18" s="30"/>
      <c r="G18" s="30"/>
      <c r="H18" s="31"/>
    </row>
    <row r="19" spans="2:8" ht="15.75" customHeight="1">
      <c r="B19" s="58"/>
      <c r="C19" s="22" t="s">
        <v>30</v>
      </c>
      <c r="D19" s="30"/>
      <c r="E19" s="30"/>
      <c r="F19" s="30"/>
      <c r="G19" s="30"/>
      <c r="H19" s="31"/>
    </row>
    <row r="20" spans="2:8" ht="15.75" customHeight="1">
      <c r="B20" s="58"/>
      <c r="C20" s="22" t="s">
        <v>31</v>
      </c>
      <c r="D20" s="30"/>
      <c r="E20" s="30"/>
      <c r="F20" s="30"/>
      <c r="G20" s="30"/>
      <c r="H20" s="31"/>
    </row>
    <row r="21" spans="2:8" ht="15.75" customHeight="1">
      <c r="B21" s="58"/>
      <c r="C21" s="22" t="s">
        <v>32</v>
      </c>
      <c r="D21" s="30"/>
      <c r="E21" s="30"/>
      <c r="F21" s="30"/>
      <c r="G21" s="30"/>
      <c r="H21" s="31"/>
    </row>
    <row r="22" spans="2:8" ht="15.75" customHeight="1">
      <c r="B22" s="58"/>
      <c r="C22" s="22" t="s">
        <v>35</v>
      </c>
      <c r="D22" s="30"/>
      <c r="E22" s="30"/>
      <c r="F22" s="30"/>
      <c r="G22" s="30"/>
      <c r="H22" s="31"/>
    </row>
    <row r="23" spans="2:8" ht="15.75" customHeight="1">
      <c r="B23" s="59" t="s">
        <v>21</v>
      </c>
      <c r="C23" s="25" t="s">
        <v>28</v>
      </c>
      <c r="D23" s="32"/>
      <c r="E23" s="32">
        <v>11296</v>
      </c>
      <c r="F23" s="32"/>
      <c r="G23" s="32"/>
      <c r="H23" s="33"/>
    </row>
    <row r="24" spans="2:8" ht="15.75" customHeight="1">
      <c r="B24" s="59"/>
      <c r="C24" s="25" t="s">
        <v>29</v>
      </c>
      <c r="D24" s="34"/>
      <c r="E24" s="34">
        <v>46</v>
      </c>
      <c r="F24" s="34"/>
      <c r="G24" s="34"/>
      <c r="H24" s="35"/>
    </row>
    <row r="25" spans="2:8" ht="15.75" customHeight="1">
      <c r="B25" s="59"/>
      <c r="C25" s="25" t="s">
        <v>30</v>
      </c>
      <c r="D25" s="34"/>
      <c r="E25" s="34">
        <v>354</v>
      </c>
      <c r="F25" s="34"/>
      <c r="G25" s="34"/>
      <c r="H25" s="35"/>
    </row>
    <row r="26" spans="2:8" ht="15.75" customHeight="1">
      <c r="B26" s="59"/>
      <c r="C26" s="25" t="s">
        <v>31</v>
      </c>
      <c r="D26" s="34"/>
      <c r="E26" s="34">
        <v>3395</v>
      </c>
      <c r="F26" s="34"/>
      <c r="G26" s="34"/>
      <c r="H26" s="35"/>
    </row>
    <row r="27" spans="2:8" ht="15.75" customHeight="1">
      <c r="B27" s="59"/>
      <c r="C27" s="25" t="s">
        <v>32</v>
      </c>
      <c r="D27" s="34"/>
      <c r="E27" s="34">
        <v>16445</v>
      </c>
      <c r="F27" s="34"/>
      <c r="G27" s="34"/>
      <c r="H27" s="35"/>
    </row>
    <row r="28" spans="2:8" ht="15.75" customHeight="1">
      <c r="B28" s="59"/>
      <c r="C28" s="25" t="s">
        <v>35</v>
      </c>
      <c r="D28" s="34"/>
      <c r="E28" s="34">
        <v>31536</v>
      </c>
      <c r="F28" s="34"/>
      <c r="G28" s="34"/>
      <c r="H28" s="35"/>
    </row>
    <row r="29" spans="2:8" ht="15.75" customHeight="1">
      <c r="B29" s="58" t="s">
        <v>22</v>
      </c>
      <c r="C29" s="22" t="s">
        <v>28</v>
      </c>
      <c r="D29" s="28"/>
      <c r="E29" s="28"/>
      <c r="F29" s="28"/>
      <c r="G29" s="28"/>
      <c r="H29" s="29"/>
    </row>
    <row r="30" spans="2:8" ht="15.75" customHeight="1">
      <c r="B30" s="58"/>
      <c r="C30" s="22" t="s">
        <v>29</v>
      </c>
      <c r="D30" s="30"/>
      <c r="E30" s="30"/>
      <c r="F30" s="30"/>
      <c r="G30" s="30"/>
      <c r="H30" s="31"/>
    </row>
    <row r="31" spans="2:8" ht="15.75" customHeight="1">
      <c r="B31" s="58"/>
      <c r="C31" s="22" t="s">
        <v>30</v>
      </c>
      <c r="D31" s="30"/>
      <c r="E31" s="30"/>
      <c r="F31" s="30"/>
      <c r="G31" s="30"/>
      <c r="H31" s="31"/>
    </row>
    <row r="32" spans="2:8" ht="15.75" customHeight="1">
      <c r="B32" s="58"/>
      <c r="C32" s="22" t="s">
        <v>31</v>
      </c>
      <c r="D32" s="30">
        <v>14</v>
      </c>
      <c r="E32" s="30">
        <v>13</v>
      </c>
      <c r="F32" s="30">
        <v>1</v>
      </c>
      <c r="G32" s="30"/>
      <c r="H32" s="31"/>
    </row>
    <row r="33" spans="2:8" ht="15.75" customHeight="1">
      <c r="B33" s="58"/>
      <c r="C33" s="22" t="s">
        <v>32</v>
      </c>
      <c r="D33" s="30">
        <v>35</v>
      </c>
      <c r="E33" s="30">
        <v>34</v>
      </c>
      <c r="F33" s="30">
        <v>1</v>
      </c>
      <c r="G33" s="30"/>
      <c r="H33" s="31"/>
    </row>
    <row r="34" spans="2:8" ht="15.75" customHeight="1">
      <c r="B34" s="58"/>
      <c r="C34" s="22" t="s">
        <v>35</v>
      </c>
      <c r="D34" s="30">
        <v>49</v>
      </c>
      <c r="E34" s="30">
        <v>47</v>
      </c>
      <c r="F34" s="30">
        <v>2</v>
      </c>
      <c r="G34" s="30"/>
      <c r="H34" s="31"/>
    </row>
    <row r="35" spans="2:8" ht="15.75" customHeight="1">
      <c r="B35" s="59" t="s">
        <v>23</v>
      </c>
      <c r="C35" s="25" t="s">
        <v>28</v>
      </c>
      <c r="D35" s="32">
        <v>781</v>
      </c>
      <c r="E35" s="32">
        <v>781</v>
      </c>
      <c r="F35" s="32">
        <v>0</v>
      </c>
      <c r="G35" s="32"/>
      <c r="H35" s="33"/>
    </row>
    <row r="36" spans="2:8" ht="15.75" customHeight="1">
      <c r="B36" s="59"/>
      <c r="C36" s="25" t="s">
        <v>29</v>
      </c>
      <c r="D36" s="34">
        <v>33</v>
      </c>
      <c r="E36" s="34">
        <v>33</v>
      </c>
      <c r="F36" s="34">
        <v>0</v>
      </c>
      <c r="G36" s="34"/>
      <c r="H36" s="35"/>
    </row>
    <row r="37" spans="2:8" ht="15.75" customHeight="1">
      <c r="B37" s="59"/>
      <c r="C37" s="25" t="s">
        <v>30</v>
      </c>
      <c r="D37" s="34">
        <v>17</v>
      </c>
      <c r="E37" s="34">
        <v>17</v>
      </c>
      <c r="F37" s="34">
        <v>0</v>
      </c>
      <c r="G37" s="34"/>
      <c r="H37" s="35"/>
    </row>
    <row r="38" spans="2:8" ht="15.75" customHeight="1">
      <c r="B38" s="59"/>
      <c r="C38" s="25" t="s">
        <v>31</v>
      </c>
      <c r="D38" s="34">
        <v>164</v>
      </c>
      <c r="E38" s="34">
        <v>164</v>
      </c>
      <c r="F38" s="34">
        <v>0</v>
      </c>
      <c r="G38" s="34"/>
      <c r="H38" s="35"/>
    </row>
    <row r="39" spans="2:8" ht="15.75" customHeight="1">
      <c r="B39" s="59"/>
      <c r="C39" s="25" t="s">
        <v>32</v>
      </c>
      <c r="D39" s="34">
        <v>0</v>
      </c>
      <c r="E39" s="34">
        <v>0</v>
      </c>
      <c r="F39" s="34">
        <v>0</v>
      </c>
      <c r="G39" s="34"/>
      <c r="H39" s="35"/>
    </row>
    <row r="40" spans="2:8" ht="15.75" customHeight="1">
      <c r="B40" s="59"/>
      <c r="C40" s="25" t="s">
        <v>35</v>
      </c>
      <c r="D40" s="34">
        <v>995</v>
      </c>
      <c r="E40" s="34">
        <v>995</v>
      </c>
      <c r="F40" s="34"/>
      <c r="G40" s="34"/>
      <c r="H40" s="35"/>
    </row>
    <row r="41" spans="2:8" ht="15.75" customHeight="1">
      <c r="B41" s="58" t="s">
        <v>24</v>
      </c>
      <c r="C41" s="22" t="s">
        <v>28</v>
      </c>
      <c r="D41" s="28">
        <v>13739</v>
      </c>
      <c r="E41" s="28">
        <v>7707</v>
      </c>
      <c r="F41" s="28">
        <v>0</v>
      </c>
      <c r="G41" s="28">
        <v>5882</v>
      </c>
      <c r="H41" s="29"/>
    </row>
    <row r="42" spans="2:8" ht="15.75" customHeight="1">
      <c r="B42" s="58"/>
      <c r="C42" s="22" t="s">
        <v>29</v>
      </c>
      <c r="D42" s="30">
        <v>660</v>
      </c>
      <c r="E42" s="30">
        <v>469</v>
      </c>
      <c r="F42" s="30">
        <v>0</v>
      </c>
      <c r="G42" s="30">
        <v>191</v>
      </c>
      <c r="H42" s="31"/>
    </row>
    <row r="43" spans="2:8" ht="15.75" customHeight="1">
      <c r="B43" s="58"/>
      <c r="C43" s="22" t="s">
        <v>30</v>
      </c>
      <c r="D43" s="30">
        <v>178</v>
      </c>
      <c r="E43" s="30">
        <v>54</v>
      </c>
      <c r="F43" s="30">
        <v>0</v>
      </c>
      <c r="G43" s="30">
        <v>124</v>
      </c>
      <c r="H43" s="31"/>
    </row>
    <row r="44" spans="2:8" ht="15.75" customHeight="1">
      <c r="B44" s="58"/>
      <c r="C44" s="22" t="s">
        <v>31</v>
      </c>
      <c r="D44" s="30">
        <v>1772</v>
      </c>
      <c r="E44" s="30">
        <v>155</v>
      </c>
      <c r="F44" s="30">
        <v>0</v>
      </c>
      <c r="G44" s="30">
        <v>300</v>
      </c>
      <c r="H44" s="31"/>
    </row>
    <row r="45" spans="2:8" ht="15.75" customHeight="1">
      <c r="B45" s="58"/>
      <c r="C45" s="22" t="s">
        <v>32</v>
      </c>
      <c r="D45" s="30">
        <v>1948</v>
      </c>
      <c r="E45" s="30">
        <v>212</v>
      </c>
      <c r="F45" s="30">
        <v>0</v>
      </c>
      <c r="G45" s="30">
        <v>502</v>
      </c>
      <c r="H45" s="31"/>
    </row>
    <row r="46" spans="2:8" ht="15.75" customHeight="1">
      <c r="B46" s="58"/>
      <c r="C46" s="22" t="s">
        <v>35</v>
      </c>
      <c r="D46" s="30">
        <v>18297</v>
      </c>
      <c r="E46" s="30">
        <v>8597</v>
      </c>
      <c r="F46" s="30">
        <v>0</v>
      </c>
      <c r="G46" s="30">
        <v>6999</v>
      </c>
      <c r="H46" s="31"/>
    </row>
    <row r="47" spans="2:8" ht="15.75" customHeight="1">
      <c r="B47" s="59" t="s">
        <v>35</v>
      </c>
      <c r="C47" s="25" t="s">
        <v>28</v>
      </c>
      <c r="D47" s="36">
        <f t="shared" ref="D47:G52" si="0">D5+D11+D17+D23+D29+D35+D41</f>
        <v>41472</v>
      </c>
      <c r="E47" s="36">
        <f t="shared" si="0"/>
        <v>43617</v>
      </c>
      <c r="F47" s="36">
        <f t="shared" si="0"/>
        <v>3119</v>
      </c>
      <c r="G47" s="36">
        <f t="shared" si="0"/>
        <v>5882</v>
      </c>
      <c r="H47" s="37"/>
    </row>
    <row r="48" spans="2:8" ht="15.75" customHeight="1">
      <c r="B48" s="59"/>
      <c r="C48" s="25" t="s">
        <v>29</v>
      </c>
      <c r="D48" s="36">
        <f t="shared" si="0"/>
        <v>2035</v>
      </c>
      <c r="E48" s="36">
        <f t="shared" si="0"/>
        <v>1800</v>
      </c>
      <c r="F48" s="36">
        <f t="shared" si="0"/>
        <v>90</v>
      </c>
      <c r="G48" s="36">
        <f t="shared" si="0"/>
        <v>191</v>
      </c>
      <c r="H48" s="38"/>
    </row>
    <row r="49" spans="2:8" ht="15.75" customHeight="1">
      <c r="B49" s="59"/>
      <c r="C49" s="25" t="s">
        <v>30</v>
      </c>
      <c r="D49" s="36">
        <f t="shared" si="0"/>
        <v>5559</v>
      </c>
      <c r="E49" s="36">
        <f t="shared" si="0"/>
        <v>4549</v>
      </c>
      <c r="F49" s="36">
        <f t="shared" si="0"/>
        <v>1240</v>
      </c>
      <c r="G49" s="36">
        <f t="shared" si="0"/>
        <v>124</v>
      </c>
      <c r="H49" s="38"/>
    </row>
    <row r="50" spans="2:8" ht="15.75" customHeight="1">
      <c r="B50" s="59"/>
      <c r="C50" s="25" t="s">
        <v>31</v>
      </c>
      <c r="D50" s="36">
        <f t="shared" si="0"/>
        <v>12259</v>
      </c>
      <c r="E50" s="36">
        <f t="shared" si="0"/>
        <v>13642</v>
      </c>
      <c r="F50" s="36">
        <f t="shared" si="0"/>
        <v>395</v>
      </c>
      <c r="G50" s="36">
        <f t="shared" si="0"/>
        <v>300</v>
      </c>
      <c r="H50" s="38"/>
    </row>
    <row r="51" spans="2:8" ht="15.75" customHeight="1">
      <c r="B51" s="59"/>
      <c r="C51" s="25" t="s">
        <v>32</v>
      </c>
      <c r="D51" s="36">
        <f t="shared" si="0"/>
        <v>43850</v>
      </c>
      <c r="E51" s="36">
        <f t="shared" si="0"/>
        <v>50381</v>
      </c>
      <c r="F51" s="36">
        <f t="shared" si="0"/>
        <v>8178</v>
      </c>
      <c r="G51" s="36">
        <f t="shared" si="0"/>
        <v>502</v>
      </c>
      <c r="H51" s="38"/>
    </row>
    <row r="52" spans="2:8" ht="15.75" customHeight="1">
      <c r="B52" s="59"/>
      <c r="C52" s="25" t="s">
        <v>35</v>
      </c>
      <c r="D52" s="36">
        <f>E52+F52</f>
        <v>127011</v>
      </c>
      <c r="E52" s="36">
        <f t="shared" si="0"/>
        <v>113989</v>
      </c>
      <c r="F52" s="36">
        <f t="shared" si="0"/>
        <v>13022</v>
      </c>
      <c r="G52" s="36">
        <f t="shared" si="0"/>
        <v>6999</v>
      </c>
      <c r="H52" s="38"/>
    </row>
  </sheetData>
  <mergeCells count="9">
    <mergeCell ref="B29:B34"/>
    <mergeCell ref="B35:B40"/>
    <mergeCell ref="B41:B46"/>
    <mergeCell ref="B47:B52"/>
    <mergeCell ref="B2:G2"/>
    <mergeCell ref="B5:B10"/>
    <mergeCell ref="B11:B16"/>
    <mergeCell ref="B17:B22"/>
    <mergeCell ref="B23:B2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9"/>
  <sheetViews>
    <sheetView zoomScaleNormal="100" workbookViewId="0">
      <selection activeCell="G23" sqref="G23"/>
    </sheetView>
  </sheetViews>
  <sheetFormatPr defaultColWidth="8.5" defaultRowHeight="15.95"/>
  <cols>
    <col min="1" max="1" width="21" customWidth="1"/>
    <col min="2" max="2" width="20.625" customWidth="1"/>
    <col min="3" max="3" width="17.125" customWidth="1"/>
  </cols>
  <sheetData>
    <row r="1" spans="1:3" ht="15.75" customHeight="1">
      <c r="A1" s="21"/>
      <c r="B1" s="21"/>
      <c r="C1" s="21" t="s">
        <v>35</v>
      </c>
    </row>
    <row r="2" spans="1:3" ht="15.75" customHeight="1">
      <c r="A2" s="61" t="s">
        <v>18</v>
      </c>
      <c r="B2" s="22" t="s">
        <v>28</v>
      </c>
      <c r="C2" s="23"/>
    </row>
    <row r="3" spans="1:3" ht="15.75" customHeight="1">
      <c r="A3" s="61"/>
      <c r="B3" s="22" t="s">
        <v>29</v>
      </c>
      <c r="C3" s="23"/>
    </row>
    <row r="4" spans="1:3" ht="15.75" customHeight="1">
      <c r="A4" s="61"/>
      <c r="B4" s="22" t="s">
        <v>30</v>
      </c>
      <c r="C4" s="23"/>
    </row>
    <row r="5" spans="1:3" ht="15.75" customHeight="1">
      <c r="A5" s="61"/>
      <c r="B5" s="22" t="s">
        <v>31</v>
      </c>
      <c r="C5" s="23"/>
    </row>
    <row r="6" spans="1:3" ht="15.75" customHeight="1">
      <c r="A6" s="61"/>
      <c r="B6" s="22" t="s">
        <v>32</v>
      </c>
      <c r="C6" s="23"/>
    </row>
    <row r="7" spans="1:3" ht="15.75" customHeight="1">
      <c r="A7" s="61"/>
      <c r="B7" s="22" t="s">
        <v>35</v>
      </c>
      <c r="C7" s="23">
        <f>SUM(C2:C6)</f>
        <v>0</v>
      </c>
    </row>
    <row r="8" spans="1:3" ht="15.75" customHeight="1">
      <c r="A8" s="62" t="s">
        <v>19</v>
      </c>
      <c r="B8" s="25" t="s">
        <v>28</v>
      </c>
      <c r="C8" s="26"/>
    </row>
    <row r="9" spans="1:3" ht="15.75" customHeight="1">
      <c r="A9" s="62"/>
      <c r="B9" s="25" t="s">
        <v>29</v>
      </c>
      <c r="C9" s="26"/>
    </row>
    <row r="10" spans="1:3" ht="15.75" customHeight="1">
      <c r="A10" s="62"/>
      <c r="B10" s="25" t="s">
        <v>30</v>
      </c>
      <c r="C10" s="26"/>
    </row>
    <row r="11" spans="1:3" ht="15.75" customHeight="1">
      <c r="A11" s="62"/>
      <c r="B11" s="25" t="s">
        <v>31</v>
      </c>
      <c r="C11" s="26"/>
    </row>
    <row r="12" spans="1:3" ht="15.75" customHeight="1">
      <c r="A12" s="62"/>
      <c r="B12" s="25" t="s">
        <v>32</v>
      </c>
      <c r="C12" s="26"/>
    </row>
    <row r="13" spans="1:3" ht="15.75" customHeight="1">
      <c r="A13" s="62"/>
      <c r="B13" s="25" t="s">
        <v>35</v>
      </c>
      <c r="C13" s="26">
        <f>SUM(C8:C12)</f>
        <v>0</v>
      </c>
    </row>
    <row r="14" spans="1:3" ht="15.75" customHeight="1">
      <c r="A14" s="58" t="s">
        <v>20</v>
      </c>
      <c r="B14" s="22" t="s">
        <v>28</v>
      </c>
      <c r="C14" s="28"/>
    </row>
    <row r="15" spans="1:3" ht="15.75" customHeight="1">
      <c r="A15" s="58"/>
      <c r="B15" s="22" t="s">
        <v>29</v>
      </c>
      <c r="C15" s="30"/>
    </row>
    <row r="16" spans="1:3" ht="15.75" customHeight="1">
      <c r="A16" s="58"/>
      <c r="B16" s="22" t="s">
        <v>30</v>
      </c>
      <c r="C16" s="30">
        <v>460</v>
      </c>
    </row>
    <row r="17" spans="1:3" ht="15.75" customHeight="1">
      <c r="A17" s="58"/>
      <c r="B17" s="22" t="s">
        <v>31</v>
      </c>
      <c r="C17" s="30"/>
    </row>
    <row r="18" spans="1:3" ht="15.75" customHeight="1">
      <c r="A18" s="58"/>
      <c r="B18" s="22" t="s">
        <v>32</v>
      </c>
      <c r="C18" s="30"/>
    </row>
    <row r="19" spans="1:3" ht="15.75" customHeight="1">
      <c r="A19" s="58"/>
      <c r="B19" s="22" t="s">
        <v>35</v>
      </c>
      <c r="C19" s="30">
        <f>SUM(C14:C18                               )</f>
        <v>460</v>
      </c>
    </row>
    <row r="20" spans="1:3" ht="15.75" customHeight="1">
      <c r="A20" s="59" t="s">
        <v>21</v>
      </c>
      <c r="B20" s="25" t="s">
        <v>28</v>
      </c>
      <c r="C20" s="32"/>
    </row>
    <row r="21" spans="1:3" ht="15.75" customHeight="1">
      <c r="A21" s="59"/>
      <c r="B21" s="25" t="s">
        <v>29</v>
      </c>
      <c r="C21" s="34"/>
    </row>
    <row r="22" spans="1:3" ht="15.75" customHeight="1">
      <c r="A22" s="59"/>
      <c r="B22" s="25" t="s">
        <v>30</v>
      </c>
      <c r="C22" s="34"/>
    </row>
    <row r="23" spans="1:3" ht="15.75" customHeight="1">
      <c r="A23" s="59"/>
      <c r="B23" s="25" t="s">
        <v>31</v>
      </c>
      <c r="C23" s="34"/>
    </row>
    <row r="24" spans="1:3" ht="15.75" customHeight="1">
      <c r="A24" s="59"/>
      <c r="B24" s="25" t="s">
        <v>32</v>
      </c>
      <c r="C24" s="34"/>
    </row>
    <row r="25" spans="1:3" ht="15.75" customHeight="1">
      <c r="A25" s="59"/>
      <c r="B25" s="25" t="s">
        <v>35</v>
      </c>
      <c r="C25" s="34">
        <f>SUM(C20:C24)</f>
        <v>0</v>
      </c>
    </row>
    <row r="26" spans="1:3" ht="15.75" customHeight="1">
      <c r="A26" s="58" t="s">
        <v>22</v>
      </c>
      <c r="B26" s="22" t="s">
        <v>28</v>
      </c>
      <c r="C26" s="28"/>
    </row>
    <row r="27" spans="1:3" ht="15.75" customHeight="1">
      <c r="A27" s="58"/>
      <c r="B27" s="22" t="s">
        <v>29</v>
      </c>
      <c r="C27" s="30"/>
    </row>
    <row r="28" spans="1:3" ht="15.75" customHeight="1">
      <c r="A28" s="58"/>
      <c r="B28" s="22" t="s">
        <v>30</v>
      </c>
      <c r="C28" s="30"/>
    </row>
    <row r="29" spans="1:3" ht="15.75" customHeight="1">
      <c r="A29" s="58"/>
      <c r="B29" s="22" t="s">
        <v>31</v>
      </c>
      <c r="C29" s="30"/>
    </row>
    <row r="30" spans="1:3" ht="15.75" customHeight="1">
      <c r="A30" s="58"/>
      <c r="B30" s="22" t="s">
        <v>32</v>
      </c>
      <c r="C30" s="30"/>
    </row>
    <row r="31" spans="1:3" ht="15.75" customHeight="1">
      <c r="A31" s="58"/>
      <c r="B31" s="22" t="s">
        <v>35</v>
      </c>
      <c r="C31" s="30">
        <f>SUM(C26:C30)</f>
        <v>0</v>
      </c>
    </row>
    <row r="32" spans="1:3" ht="15.75" customHeight="1">
      <c r="A32" s="59" t="s">
        <v>23</v>
      </c>
      <c r="B32" s="25" t="s">
        <v>28</v>
      </c>
      <c r="C32" s="32"/>
    </row>
    <row r="33" spans="1:3" ht="15.75" customHeight="1">
      <c r="A33" s="59"/>
      <c r="B33" s="25" t="s">
        <v>29</v>
      </c>
      <c r="C33" s="34"/>
    </row>
    <row r="34" spans="1:3" ht="15.75" customHeight="1">
      <c r="A34" s="59"/>
      <c r="B34" s="25" t="s">
        <v>30</v>
      </c>
      <c r="C34" s="34"/>
    </row>
    <row r="35" spans="1:3" ht="15.75" customHeight="1">
      <c r="A35" s="59"/>
      <c r="B35" s="25" t="s">
        <v>31</v>
      </c>
      <c r="C35" s="34"/>
    </row>
    <row r="36" spans="1:3" ht="15.75" customHeight="1">
      <c r="A36" s="59"/>
      <c r="B36" s="25" t="s">
        <v>32</v>
      </c>
      <c r="C36" s="34"/>
    </row>
    <row r="37" spans="1:3" ht="15.75" customHeight="1">
      <c r="A37" s="59"/>
      <c r="B37" s="25" t="s">
        <v>35</v>
      </c>
      <c r="C37" s="34">
        <f>SUM(C32:C36)</f>
        <v>0</v>
      </c>
    </row>
    <row r="38" spans="1:3" ht="15.75" customHeight="1">
      <c r="A38" s="58" t="s">
        <v>24</v>
      </c>
      <c r="B38" s="22" t="s">
        <v>28</v>
      </c>
      <c r="C38" s="28"/>
    </row>
    <row r="39" spans="1:3" ht="15.75" customHeight="1">
      <c r="A39" s="58"/>
      <c r="B39" s="22" t="s">
        <v>29</v>
      </c>
      <c r="C39" s="30"/>
    </row>
    <row r="40" spans="1:3" ht="15.75" customHeight="1">
      <c r="A40" s="58"/>
      <c r="B40" s="22" t="s">
        <v>30</v>
      </c>
      <c r="C40" s="30"/>
    </row>
    <row r="41" spans="1:3" ht="15.75" customHeight="1">
      <c r="A41" s="58"/>
      <c r="B41" s="22" t="s">
        <v>31</v>
      </c>
      <c r="C41" s="30"/>
    </row>
    <row r="42" spans="1:3" ht="15.75" customHeight="1">
      <c r="A42" s="58"/>
      <c r="B42" s="22" t="s">
        <v>32</v>
      </c>
      <c r="C42" s="30"/>
    </row>
    <row r="43" spans="1:3" ht="15.75" customHeight="1">
      <c r="A43" s="58"/>
      <c r="B43" s="22" t="s">
        <v>35</v>
      </c>
      <c r="C43" s="30">
        <f>SUM(C38:C42)</f>
        <v>0</v>
      </c>
    </row>
    <row r="44" spans="1:3" ht="15.75" customHeight="1">
      <c r="A44" s="59" t="s">
        <v>35</v>
      </c>
      <c r="B44" s="25" t="s">
        <v>28</v>
      </c>
      <c r="C44" s="36">
        <f t="shared" ref="C44:C49" si="0">C2+C8+C14+C20+C26+C32+C38</f>
        <v>0</v>
      </c>
    </row>
    <row r="45" spans="1:3" ht="15.75" customHeight="1">
      <c r="A45" s="59"/>
      <c r="B45" s="25" t="s">
        <v>29</v>
      </c>
      <c r="C45" s="36">
        <f t="shared" si="0"/>
        <v>0</v>
      </c>
    </row>
    <row r="46" spans="1:3" ht="15.75" customHeight="1">
      <c r="A46" s="59"/>
      <c r="B46" s="25" t="s">
        <v>30</v>
      </c>
      <c r="C46" s="36">
        <f>C4+C10+C16+C22+C28+C34+C40</f>
        <v>460</v>
      </c>
    </row>
    <row r="47" spans="1:3" ht="15.75" customHeight="1">
      <c r="A47" s="59"/>
      <c r="B47" s="25" t="s">
        <v>31</v>
      </c>
      <c r="C47" s="36">
        <f t="shared" si="0"/>
        <v>0</v>
      </c>
    </row>
    <row r="48" spans="1:3" ht="15.75" customHeight="1">
      <c r="A48" s="59"/>
      <c r="B48" s="25" t="s">
        <v>32</v>
      </c>
      <c r="C48" s="36">
        <f t="shared" si="0"/>
        <v>0</v>
      </c>
    </row>
    <row r="49" spans="1:3" ht="15.75" customHeight="1">
      <c r="A49" s="59"/>
      <c r="B49" s="25" t="s">
        <v>35</v>
      </c>
      <c r="C49" s="36">
        <f>C7+C13+C19+C25+C31+C37+C43</f>
        <v>460</v>
      </c>
    </row>
  </sheetData>
  <mergeCells count="8">
    <mergeCell ref="A32:A37"/>
    <mergeCell ref="A38:A43"/>
    <mergeCell ref="A44:A49"/>
    <mergeCell ref="A2:A7"/>
    <mergeCell ref="A8:A13"/>
    <mergeCell ref="A14:A19"/>
    <mergeCell ref="A20:A25"/>
    <mergeCell ref="A26:A3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50"/>
  <sheetViews>
    <sheetView tabSelected="1" zoomScaleNormal="100" workbookViewId="0">
      <selection activeCell="I9" sqref="I9"/>
    </sheetView>
  </sheetViews>
  <sheetFormatPr defaultColWidth="8.5" defaultRowHeight="15.75"/>
  <cols>
    <col min="2" max="2" width="10.875" customWidth="1"/>
    <col min="3" max="3" width="18.375" customWidth="1"/>
    <col min="4" max="4" width="12.625" customWidth="1"/>
    <col min="5" max="5" width="11.125" customWidth="1"/>
    <col min="6" max="6" width="21" customWidth="1"/>
    <col min="7" max="7" width="16" style="48" customWidth="1"/>
  </cols>
  <sheetData>
    <row r="2" spans="2:7" ht="15.75" customHeight="1">
      <c r="B2" s="21"/>
      <c r="C2" s="21"/>
      <c r="D2" s="21" t="s">
        <v>40</v>
      </c>
      <c r="E2" s="21" t="s">
        <v>41</v>
      </c>
      <c r="F2" s="21" t="s">
        <v>42</v>
      </c>
      <c r="G2" s="39" t="s">
        <v>43</v>
      </c>
    </row>
    <row r="3" spans="2:7" ht="15.75" customHeight="1">
      <c r="B3" s="61" t="s">
        <v>18</v>
      </c>
      <c r="C3" s="22" t="s">
        <v>28</v>
      </c>
      <c r="D3" s="23"/>
      <c r="E3" s="23"/>
      <c r="F3" s="23">
        <f>D3*E3</f>
        <v>0</v>
      </c>
      <c r="G3" s="49"/>
    </row>
    <row r="4" spans="2:7" ht="15.75" customHeight="1">
      <c r="B4" s="61"/>
      <c r="C4" s="22" t="s">
        <v>29</v>
      </c>
      <c r="D4" s="23"/>
      <c r="E4" s="23"/>
      <c r="F4" s="23">
        <f>D4*E4</f>
        <v>0</v>
      </c>
      <c r="G4" s="40"/>
    </row>
    <row r="5" spans="2:7" ht="15.75" customHeight="1">
      <c r="B5" s="61"/>
      <c r="C5" s="22" t="s">
        <v>30</v>
      </c>
      <c r="D5" s="23"/>
      <c r="E5" s="23"/>
      <c r="F5" s="23">
        <f>D5*E5</f>
        <v>0</v>
      </c>
      <c r="G5" s="40"/>
    </row>
    <row r="6" spans="2:7" ht="15.75" customHeight="1">
      <c r="B6" s="61"/>
      <c r="C6" s="22" t="s">
        <v>31</v>
      </c>
      <c r="D6" s="23"/>
      <c r="E6" s="23"/>
      <c r="F6" s="23">
        <f>D6*E6</f>
        <v>0</v>
      </c>
      <c r="G6" s="40"/>
    </row>
    <row r="7" spans="2:7" ht="15.75" customHeight="1">
      <c r="B7" s="61"/>
      <c r="C7" s="22" t="s">
        <v>32</v>
      </c>
      <c r="D7" s="23"/>
      <c r="E7" s="23"/>
      <c r="F7" s="23">
        <f>D7*E7</f>
        <v>0</v>
      </c>
      <c r="G7" s="40"/>
    </row>
    <row r="8" spans="2:7" ht="15.75" customHeight="1">
      <c r="B8" s="61"/>
      <c r="C8" s="22" t="s">
        <v>35</v>
      </c>
      <c r="D8" s="23">
        <f>SUM(D3:D7)</f>
        <v>0</v>
      </c>
      <c r="E8" s="23">
        <f>SUM(E3:E7)</f>
        <v>0</v>
      </c>
      <c r="F8" s="23">
        <f>SUM(F3:F7)</f>
        <v>0</v>
      </c>
      <c r="G8" s="40"/>
    </row>
    <row r="9" spans="2:7" ht="15.75" customHeight="1">
      <c r="B9" s="62" t="s">
        <v>19</v>
      </c>
      <c r="C9" s="25" t="s">
        <v>28</v>
      </c>
      <c r="D9" s="26"/>
      <c r="E9" s="26"/>
      <c r="F9" s="23">
        <f>D9*E9</f>
        <v>0</v>
      </c>
      <c r="G9" s="41"/>
    </row>
    <row r="10" spans="2:7" ht="15.75" customHeight="1">
      <c r="B10" s="62"/>
      <c r="C10" s="25" t="s">
        <v>29</v>
      </c>
      <c r="D10" s="26"/>
      <c r="E10" s="26"/>
      <c r="F10" s="23">
        <f>D10*E10</f>
        <v>0</v>
      </c>
      <c r="G10" s="41"/>
    </row>
    <row r="11" spans="2:7" ht="15.75" customHeight="1">
      <c r="B11" s="62"/>
      <c r="C11" s="25" t="s">
        <v>30</v>
      </c>
      <c r="D11" s="26"/>
      <c r="E11" s="26"/>
      <c r="F11" s="23">
        <f>D11*E11</f>
        <v>0</v>
      </c>
      <c r="G11" s="41"/>
    </row>
    <row r="12" spans="2:7" ht="15.75" customHeight="1">
      <c r="B12" s="62"/>
      <c r="C12" s="25" t="s">
        <v>31</v>
      </c>
      <c r="D12" s="26"/>
      <c r="E12" s="26"/>
      <c r="F12" s="23">
        <f>D12*E12</f>
        <v>0</v>
      </c>
      <c r="G12" s="41"/>
    </row>
    <row r="13" spans="2:7" ht="15.75" customHeight="1">
      <c r="B13" s="62"/>
      <c r="C13" s="25" t="s">
        <v>32</v>
      </c>
      <c r="D13" s="26"/>
      <c r="E13" s="26"/>
      <c r="F13" s="23">
        <f>D13*E13</f>
        <v>0</v>
      </c>
      <c r="G13" s="41"/>
    </row>
    <row r="14" spans="2:7" ht="15.75" customHeight="1">
      <c r="B14" s="62"/>
      <c r="C14" s="25" t="s">
        <v>35</v>
      </c>
      <c r="D14" s="26">
        <f>SUM(D9:D13)</f>
        <v>0</v>
      </c>
      <c r="E14" s="26">
        <f>SUM(E9:E13)</f>
        <v>0</v>
      </c>
      <c r="F14" s="26">
        <f>SUM(F9:F13)</f>
        <v>0</v>
      </c>
      <c r="G14" s="41"/>
    </row>
    <row r="15" spans="2:7" ht="15.75" customHeight="1">
      <c r="B15" s="58" t="s">
        <v>20</v>
      </c>
      <c r="C15" s="22" t="s">
        <v>28</v>
      </c>
      <c r="D15" s="28"/>
      <c r="E15" s="28"/>
      <c r="F15" s="28">
        <f>D15*E15</f>
        <v>0</v>
      </c>
      <c r="G15" s="42"/>
    </row>
    <row r="16" spans="2:7" ht="15.75" customHeight="1">
      <c r="B16" s="58"/>
      <c r="C16" s="22" t="s">
        <v>29</v>
      </c>
      <c r="D16" s="30"/>
      <c r="E16" s="30"/>
      <c r="F16" s="28">
        <f>D16*E16</f>
        <v>0</v>
      </c>
      <c r="G16" s="43"/>
    </row>
    <row r="17" spans="2:7" ht="15.75" customHeight="1">
      <c r="B17" s="58"/>
      <c r="C17" s="22" t="s">
        <v>30</v>
      </c>
      <c r="D17" s="30"/>
      <c r="E17" s="30"/>
      <c r="F17" s="28">
        <f>D17*E17</f>
        <v>0</v>
      </c>
      <c r="G17" s="43"/>
    </row>
    <row r="18" spans="2:7" ht="15.75" customHeight="1">
      <c r="B18" s="58"/>
      <c r="C18" s="22" t="s">
        <v>31</v>
      </c>
      <c r="D18" s="30"/>
      <c r="E18" s="30"/>
      <c r="F18" s="28">
        <f>D18*E18</f>
        <v>0</v>
      </c>
      <c r="G18" s="43"/>
    </row>
    <row r="19" spans="2:7" ht="15.75" customHeight="1">
      <c r="B19" s="58"/>
      <c r="C19" s="22" t="s">
        <v>32</v>
      </c>
      <c r="D19" s="30"/>
      <c r="E19" s="30"/>
      <c r="F19" s="28">
        <f>D19*E19</f>
        <v>0</v>
      </c>
      <c r="G19" s="43"/>
    </row>
    <row r="20" spans="2:7" ht="15.75" customHeight="1">
      <c r="B20" s="58"/>
      <c r="C20" s="22" t="s">
        <v>35</v>
      </c>
      <c r="D20" s="30">
        <f>SUM(D15:D19)</f>
        <v>0</v>
      </c>
      <c r="E20" s="30">
        <f>SUM(E15:E19)</f>
        <v>0</v>
      </c>
      <c r="F20" s="30">
        <f>SUM(F15:F19)</f>
        <v>0</v>
      </c>
      <c r="G20" s="43"/>
    </row>
    <row r="21" spans="2:7" ht="15.75" customHeight="1">
      <c r="B21" s="59" t="s">
        <v>21</v>
      </c>
      <c r="C21" s="25" t="s">
        <v>28</v>
      </c>
      <c r="D21" s="32"/>
      <c r="E21" s="32"/>
      <c r="F21" s="32">
        <f>D21*E21</f>
        <v>0</v>
      </c>
      <c r="G21" s="44"/>
    </row>
    <row r="22" spans="2:7" ht="15.75" customHeight="1">
      <c r="B22" s="59"/>
      <c r="C22" s="25" t="s">
        <v>29</v>
      </c>
      <c r="D22" s="34"/>
      <c r="E22" s="34"/>
      <c r="F22" s="32">
        <f>D22*E22</f>
        <v>0</v>
      </c>
      <c r="G22" s="45"/>
    </row>
    <row r="23" spans="2:7" ht="15.75" customHeight="1">
      <c r="B23" s="59"/>
      <c r="C23" s="25" t="s">
        <v>30</v>
      </c>
      <c r="D23" s="34"/>
      <c r="E23" s="34"/>
      <c r="F23" s="32">
        <f>D23*E23</f>
        <v>0</v>
      </c>
      <c r="G23" s="45"/>
    </row>
    <row r="24" spans="2:7" ht="15.75" customHeight="1">
      <c r="B24" s="59"/>
      <c r="C24" s="25" t="s">
        <v>31</v>
      </c>
      <c r="D24" s="34"/>
      <c r="E24" s="34"/>
      <c r="F24" s="32">
        <f>D24*E24</f>
        <v>0</v>
      </c>
      <c r="G24" s="45"/>
    </row>
    <row r="25" spans="2:7" ht="15.75" customHeight="1">
      <c r="B25" s="59"/>
      <c r="C25" s="25" t="s">
        <v>32</v>
      </c>
      <c r="D25" s="34"/>
      <c r="E25" s="34"/>
      <c r="F25" s="32">
        <f>D25*E25</f>
        <v>0</v>
      </c>
      <c r="G25" s="45"/>
    </row>
    <row r="26" spans="2:7" ht="15.75" customHeight="1">
      <c r="B26" s="59"/>
      <c r="C26" s="25" t="s">
        <v>35</v>
      </c>
      <c r="D26" s="34">
        <f>SUM(D21:D25)</f>
        <v>0</v>
      </c>
      <c r="E26" s="34">
        <f>SUM(E21:E25)</f>
        <v>0</v>
      </c>
      <c r="F26" s="34">
        <f>SUM(F21:F25)</f>
        <v>0</v>
      </c>
      <c r="G26" s="45"/>
    </row>
    <row r="27" spans="2:7" ht="15.75" customHeight="1">
      <c r="B27" s="58" t="s">
        <v>22</v>
      </c>
      <c r="C27" s="22" t="s">
        <v>28</v>
      </c>
      <c r="D27" s="28"/>
      <c r="E27" s="28"/>
      <c r="F27" s="28">
        <f>D27*E27</f>
        <v>0</v>
      </c>
      <c r="G27" s="42"/>
    </row>
    <row r="28" spans="2:7" ht="15.75" customHeight="1">
      <c r="B28" s="58"/>
      <c r="C28" s="22" t="s">
        <v>29</v>
      </c>
      <c r="D28" s="30"/>
      <c r="E28" s="30"/>
      <c r="F28" s="28">
        <f>D28*E28</f>
        <v>0</v>
      </c>
      <c r="G28" s="43"/>
    </row>
    <row r="29" spans="2:7" ht="15.75" customHeight="1">
      <c r="B29" s="58"/>
      <c r="C29" s="22" t="s">
        <v>30</v>
      </c>
      <c r="D29" s="30"/>
      <c r="E29" s="30"/>
      <c r="F29" s="28">
        <f>D29*E29</f>
        <v>0</v>
      </c>
      <c r="G29" s="43"/>
    </row>
    <row r="30" spans="2:7" ht="15.75" customHeight="1">
      <c r="B30" s="58"/>
      <c r="C30" s="22" t="s">
        <v>31</v>
      </c>
      <c r="D30" s="30"/>
      <c r="E30" s="30"/>
      <c r="F30" s="28">
        <f>D30*E30</f>
        <v>0</v>
      </c>
      <c r="G30" s="43"/>
    </row>
    <row r="31" spans="2:7" ht="15.75" customHeight="1">
      <c r="B31" s="58"/>
      <c r="C31" s="22" t="s">
        <v>32</v>
      </c>
      <c r="D31" s="30"/>
      <c r="E31" s="30"/>
      <c r="F31" s="28">
        <f>D31*E31</f>
        <v>0</v>
      </c>
      <c r="G31" s="43"/>
    </row>
    <row r="32" spans="2:7" ht="15.75" customHeight="1">
      <c r="B32" s="58"/>
      <c r="C32" s="22" t="s">
        <v>35</v>
      </c>
      <c r="D32" s="30">
        <f>SUM(D27:D31)</f>
        <v>0</v>
      </c>
      <c r="E32" s="30">
        <f>SUM(E27:E31)</f>
        <v>0</v>
      </c>
      <c r="F32" s="30">
        <f>SUM(F27:F31)</f>
        <v>0</v>
      </c>
      <c r="G32" s="43"/>
    </row>
    <row r="33" spans="2:7" ht="15.75" customHeight="1">
      <c r="B33" s="59" t="s">
        <v>23</v>
      </c>
      <c r="C33" s="25" t="s">
        <v>28</v>
      </c>
      <c r="D33" s="32"/>
      <c r="E33" s="32"/>
      <c r="F33" s="32">
        <f>D33*E33</f>
        <v>0</v>
      </c>
      <c r="G33" s="44"/>
    </row>
    <row r="34" spans="2:7" ht="15.75" customHeight="1">
      <c r="B34" s="59"/>
      <c r="C34" s="25" t="s">
        <v>29</v>
      </c>
      <c r="D34" s="34"/>
      <c r="E34" s="34"/>
      <c r="F34" s="32">
        <f>D34*E34</f>
        <v>0</v>
      </c>
      <c r="G34" s="45"/>
    </row>
    <row r="35" spans="2:7" ht="15.75" customHeight="1">
      <c r="B35" s="59"/>
      <c r="C35" s="25" t="s">
        <v>30</v>
      </c>
      <c r="D35" s="34"/>
      <c r="E35" s="34"/>
      <c r="F35" s="32">
        <f>D35*E35</f>
        <v>0</v>
      </c>
      <c r="G35" s="45"/>
    </row>
    <row r="36" spans="2:7" ht="15.75" customHeight="1">
      <c r="B36" s="59"/>
      <c r="C36" s="25" t="s">
        <v>31</v>
      </c>
      <c r="D36" s="34"/>
      <c r="E36" s="34"/>
      <c r="F36" s="32">
        <f>D36*E36</f>
        <v>0</v>
      </c>
      <c r="G36" s="45"/>
    </row>
    <row r="37" spans="2:7" ht="15.75" customHeight="1">
      <c r="B37" s="59"/>
      <c r="C37" s="25" t="s">
        <v>32</v>
      </c>
      <c r="D37" s="34"/>
      <c r="E37" s="34"/>
      <c r="F37" s="32">
        <f>D37*E37</f>
        <v>0</v>
      </c>
      <c r="G37" s="45"/>
    </row>
    <row r="38" spans="2:7" ht="15.75" customHeight="1">
      <c r="B38" s="59"/>
      <c r="C38" s="25" t="s">
        <v>35</v>
      </c>
      <c r="D38" s="34">
        <f>SUM(D33:D37)</f>
        <v>0</v>
      </c>
      <c r="E38" s="34">
        <f>SUM(E33:E37)</f>
        <v>0</v>
      </c>
      <c r="F38" s="34">
        <f>SUM(F33:F37)</f>
        <v>0</v>
      </c>
      <c r="G38" s="45"/>
    </row>
    <row r="39" spans="2:7" ht="15.75" customHeight="1">
      <c r="B39" s="58" t="s">
        <v>24</v>
      </c>
      <c r="C39" s="22" t="s">
        <v>28</v>
      </c>
      <c r="D39" s="28"/>
      <c r="E39" s="28"/>
      <c r="F39" s="28">
        <f>D39*E39</f>
        <v>0</v>
      </c>
      <c r="G39" s="42"/>
    </row>
    <row r="40" spans="2:7" ht="15.75" customHeight="1">
      <c r="B40" s="58"/>
      <c r="C40" s="22" t="s">
        <v>29</v>
      </c>
      <c r="D40" s="30"/>
      <c r="E40" s="30"/>
      <c r="F40" s="28">
        <f>D40*E40</f>
        <v>0</v>
      </c>
      <c r="G40" s="43"/>
    </row>
    <row r="41" spans="2:7" ht="15.75" customHeight="1">
      <c r="B41" s="58"/>
      <c r="C41" s="22" t="s">
        <v>30</v>
      </c>
      <c r="D41" s="30"/>
      <c r="E41" s="30"/>
      <c r="F41" s="28">
        <f>D41*E41</f>
        <v>0</v>
      </c>
      <c r="G41" s="43"/>
    </row>
    <row r="42" spans="2:7" ht="15.75" customHeight="1">
      <c r="B42" s="58"/>
      <c r="C42" s="22" t="s">
        <v>31</v>
      </c>
      <c r="D42" s="30"/>
      <c r="E42" s="30"/>
      <c r="F42" s="28">
        <f>D42*E42</f>
        <v>0</v>
      </c>
      <c r="G42" s="43"/>
    </row>
    <row r="43" spans="2:7" ht="15.75" customHeight="1">
      <c r="B43" s="58"/>
      <c r="C43" s="22" t="s">
        <v>32</v>
      </c>
      <c r="D43" s="30"/>
      <c r="E43" s="30"/>
      <c r="F43" s="28">
        <f>D43*E43</f>
        <v>0</v>
      </c>
      <c r="G43" s="43"/>
    </row>
    <row r="44" spans="2:7" ht="15.75" customHeight="1">
      <c r="B44" s="58"/>
      <c r="C44" s="22" t="s">
        <v>35</v>
      </c>
      <c r="D44" s="30">
        <f>SUM(D39:D43)</f>
        <v>0</v>
      </c>
      <c r="E44" s="30">
        <f>SUM(E39:E43)</f>
        <v>0</v>
      </c>
      <c r="F44" s="30">
        <f>SUM(F39:F43)</f>
        <v>0</v>
      </c>
      <c r="G44" s="43"/>
    </row>
    <row r="45" spans="2:7" ht="15.75" customHeight="1">
      <c r="B45" s="59" t="s">
        <v>35</v>
      </c>
      <c r="C45" s="25" t="s">
        <v>28</v>
      </c>
      <c r="D45" s="36">
        <f t="shared" ref="D45:F50" si="0">SUM(D39,D33,D27,D21,D15,D9,D3)</f>
        <v>0</v>
      </c>
      <c r="E45" s="36">
        <f t="shared" si="0"/>
        <v>0</v>
      </c>
      <c r="F45" s="36">
        <f t="shared" si="0"/>
        <v>0</v>
      </c>
      <c r="G45" s="46"/>
    </row>
    <row r="46" spans="2:7" ht="15.75" customHeight="1">
      <c r="B46" s="59"/>
      <c r="C46" s="25" t="s">
        <v>29</v>
      </c>
      <c r="D46" s="36">
        <f t="shared" si="0"/>
        <v>0</v>
      </c>
      <c r="E46" s="36">
        <f t="shared" si="0"/>
        <v>0</v>
      </c>
      <c r="F46" s="36">
        <f t="shared" si="0"/>
        <v>0</v>
      </c>
      <c r="G46" s="47"/>
    </row>
    <row r="47" spans="2:7" ht="15.75" customHeight="1">
      <c r="B47" s="59"/>
      <c r="C47" s="25" t="s">
        <v>30</v>
      </c>
      <c r="D47" s="36">
        <f t="shared" si="0"/>
        <v>0</v>
      </c>
      <c r="E47" s="36">
        <f t="shared" si="0"/>
        <v>0</v>
      </c>
      <c r="F47" s="36">
        <f t="shared" si="0"/>
        <v>0</v>
      </c>
      <c r="G47" s="47"/>
    </row>
    <row r="48" spans="2:7" ht="15.75" customHeight="1">
      <c r="B48" s="59"/>
      <c r="C48" s="25" t="s">
        <v>31</v>
      </c>
      <c r="D48" s="36">
        <f t="shared" si="0"/>
        <v>0</v>
      </c>
      <c r="E48" s="36">
        <f t="shared" si="0"/>
        <v>0</v>
      </c>
      <c r="F48" s="36">
        <f t="shared" si="0"/>
        <v>0</v>
      </c>
      <c r="G48" s="47"/>
    </row>
    <row r="49" spans="2:7" ht="15.75" customHeight="1">
      <c r="B49" s="59"/>
      <c r="C49" s="25" t="s">
        <v>32</v>
      </c>
      <c r="D49" s="36">
        <f t="shared" si="0"/>
        <v>0</v>
      </c>
      <c r="E49" s="36">
        <f t="shared" si="0"/>
        <v>0</v>
      </c>
      <c r="F49" s="36">
        <f t="shared" si="0"/>
        <v>0</v>
      </c>
      <c r="G49" s="47"/>
    </row>
    <row r="50" spans="2:7" ht="15.75" customHeight="1">
      <c r="B50" s="59"/>
      <c r="C50" s="25" t="s">
        <v>35</v>
      </c>
      <c r="D50" s="36">
        <f>SUM(D44,D38,D32,D26,D20,D14,D8)</f>
        <v>0</v>
      </c>
      <c r="E50" s="36">
        <f t="shared" si="0"/>
        <v>0</v>
      </c>
      <c r="F50" s="36">
        <f t="shared" si="0"/>
        <v>0</v>
      </c>
      <c r="G50" s="47"/>
    </row>
  </sheetData>
  <mergeCells count="8">
    <mergeCell ref="B33:B38"/>
    <mergeCell ref="B39:B44"/>
    <mergeCell ref="B45:B50"/>
    <mergeCell ref="B3:B8"/>
    <mergeCell ref="B9:B14"/>
    <mergeCell ref="B15:B20"/>
    <mergeCell ref="B21:B26"/>
    <mergeCell ref="B27:B3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Zarrar Khan</dc:creator>
  <cp:keywords/>
  <dc:description/>
  <cp:lastModifiedBy>Sidra Cheema</cp:lastModifiedBy>
  <cp:revision>13</cp:revision>
  <dcterms:created xsi:type="dcterms:W3CDTF">2026-04-06T06:24:34Z</dcterms:created>
  <dcterms:modified xsi:type="dcterms:W3CDTF">2026-04-07T11:18:51Z</dcterms:modified>
  <cp:category/>
  <cp:contentStatus/>
</cp:coreProperties>
</file>